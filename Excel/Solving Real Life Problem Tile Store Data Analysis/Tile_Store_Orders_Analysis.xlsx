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i\OneDrive\Pulpit\DATA_RELATED i Python\PYTHON\PROJEKTY ANALIZY DANYCH\Solving real life problem Tile Store Data Analysis\"/>
    </mc:Choice>
  </mc:AlternateContent>
  <xr:revisionPtr revIDLastSave="0" documentId="13_ncr:1_{ABA12C6B-AFA7-499E-BDEF-07854A9C2F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FM_Category_Count" sheetId="5" r:id="rId1"/>
    <sheet name="RFM_Score" sheetId="4" r:id="rId2"/>
    <sheet name="Pivot_1" sheetId="3" r:id="rId3"/>
    <sheet name="tile_store_orders" sheetId="2" r:id="rId4"/>
  </sheets>
  <definedNames>
    <definedName name="ExternalData_1" localSheetId="3" hidden="1">tile_store_orders!$A$1:$E$1001</definedName>
  </definedNames>
  <calcPr calcId="191029"/>
  <pivotCaches>
    <pivotCache cacheId="0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 a="1"/>
  <c r="I2" i="4"/>
  <c r="I3" i="4" a="1"/>
  <c r="I3" i="4"/>
  <c r="I4" i="4" a="1"/>
  <c r="I4" i="4"/>
  <c r="I5" i="4" a="1"/>
  <c r="I5" i="4"/>
  <c r="I6" i="4" a="1"/>
  <c r="I6" i="4"/>
  <c r="I7" i="4" a="1"/>
  <c r="I7" i="4"/>
  <c r="I8" i="4" a="1"/>
  <c r="I8" i="4"/>
  <c r="I9" i="4" a="1"/>
  <c r="I9" i="4"/>
  <c r="I10" i="4" a="1"/>
  <c r="I10" i="4"/>
  <c r="I11" i="4" a="1"/>
  <c r="I11" i="4"/>
  <c r="I12" i="4" a="1"/>
  <c r="I12" i="4"/>
  <c r="I13" i="4" a="1"/>
  <c r="I13" i="4"/>
  <c r="I14" i="4" a="1"/>
  <c r="I14" i="4"/>
  <c r="I15" i="4" a="1"/>
  <c r="I15" i="4"/>
  <c r="I16" i="4" a="1"/>
  <c r="I16" i="4"/>
  <c r="I17" i="4" a="1"/>
  <c r="I17" i="4"/>
  <c r="I18" i="4" a="1"/>
  <c r="I18" i="4"/>
  <c r="I19" i="4" a="1"/>
  <c r="I19" i="4"/>
  <c r="I20" i="4" a="1"/>
  <c r="I20" i="4"/>
  <c r="I21" i="4" a="1"/>
  <c r="I21" i="4"/>
  <c r="I22" i="4" a="1"/>
  <c r="I22" i="4"/>
  <c r="I23" i="4" a="1"/>
  <c r="I23" i="4"/>
  <c r="I24" i="4" a="1"/>
  <c r="I24" i="4"/>
  <c r="I25" i="4" a="1"/>
  <c r="I25" i="4"/>
  <c r="I26" i="4" a="1"/>
  <c r="I26" i="4"/>
  <c r="I27" i="4" a="1"/>
  <c r="I27" i="4"/>
  <c r="I28" i="4" a="1"/>
  <c r="I28" i="4"/>
  <c r="I29" i="4" a="1"/>
  <c r="I29" i="4"/>
  <c r="I30" i="4" a="1"/>
  <c r="I30" i="4"/>
  <c r="I31" i="4" a="1"/>
  <c r="I31" i="4"/>
  <c r="I32" i="4" a="1"/>
  <c r="I32" i="4"/>
  <c r="I33" i="4" a="1"/>
  <c r="I33" i="4"/>
  <c r="I34" i="4" a="1"/>
  <c r="I34" i="4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7" i="4" a="1"/>
  <c r="I47" i="4" s="1"/>
  <c r="I48" i="4" a="1"/>
  <c r="I48" i="4" s="1"/>
  <c r="I49" i="4" a="1"/>
  <c r="I49" i="4"/>
  <c r="I50" i="4" a="1"/>
  <c r="I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I73" i="4" a="1"/>
  <c r="I73" i="4" s="1"/>
  <c r="I74" i="4" a="1"/>
  <c r="I74" i="4" s="1"/>
  <c r="I75" i="4" a="1"/>
  <c r="I75" i="4" s="1"/>
  <c r="I76" i="4" a="1"/>
  <c r="I76" i="4" s="1"/>
  <c r="I77" i="4" a="1"/>
  <c r="I77" i="4" s="1"/>
  <c r="I78" i="4" a="1"/>
  <c r="I78" i="4" s="1"/>
  <c r="I79" i="4" a="1"/>
  <c r="I79" i="4" s="1"/>
  <c r="I80" i="4" a="1"/>
  <c r="I80" i="4" s="1"/>
  <c r="I81" i="4" a="1"/>
  <c r="I81" i="4" s="1"/>
  <c r="I82" i="4" a="1"/>
  <c r="I82" i="4" s="1"/>
  <c r="I83" i="4" a="1"/>
  <c r="I83" i="4" s="1"/>
  <c r="I84" i="4" a="1"/>
  <c r="I84" i="4" s="1"/>
  <c r="I85" i="4" a="1"/>
  <c r="I85" i="4" s="1"/>
  <c r="I86" i="4" a="1"/>
  <c r="I86" i="4" s="1"/>
  <c r="I87" i="4" a="1"/>
  <c r="I87" i="4" s="1"/>
  <c r="I88" i="4" a="1"/>
  <c r="I88" i="4" s="1"/>
  <c r="I89" i="4" a="1"/>
  <c r="I89" i="4" s="1"/>
  <c r="I90" i="4" a="1"/>
  <c r="I90" i="4" s="1"/>
  <c r="I91" i="4" a="1"/>
  <c r="I91" i="4" s="1"/>
  <c r="I92" i="4" a="1"/>
  <c r="I92" i="4" s="1"/>
  <c r="I93" i="4" a="1"/>
  <c r="I93" i="4" s="1"/>
  <c r="I94" i="4" a="1"/>
  <c r="I94" i="4" s="1"/>
  <c r="I95" i="4" a="1"/>
  <c r="I95" i="4" s="1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I101" i="4" a="1"/>
  <c r="I101" i="4" s="1"/>
  <c r="I102" i="4" a="1"/>
  <c r="I102" i="4" s="1"/>
  <c r="I103" i="4" a="1"/>
  <c r="I103" i="4"/>
  <c r="I104" i="4" a="1"/>
  <c r="I104" i="4"/>
  <c r="I105" i="4" a="1"/>
  <c r="I105" i="4"/>
  <c r="I106" i="4" a="1"/>
  <c r="I106" i="4"/>
  <c r="I107" i="4" a="1"/>
  <c r="I107" i="4"/>
  <c r="I108" i="4" a="1"/>
  <c r="I108" i="4"/>
  <c r="I109" i="4" a="1"/>
  <c r="I109" i="4"/>
  <c r="I110" i="4" a="1"/>
  <c r="I110" i="4"/>
  <c r="I111" i="4" a="1"/>
  <c r="I111" i="4"/>
  <c r="I112" i="4" a="1"/>
  <c r="I112" i="4"/>
  <c r="I113" i="4" a="1"/>
  <c r="I113" i="4"/>
  <c r="I114" i="4" a="1"/>
  <c r="I114" i="4"/>
  <c r="I115" i="4" a="1"/>
  <c r="I115" i="4"/>
  <c r="I116" i="4" a="1"/>
  <c r="I116" i="4"/>
  <c r="I117" i="4" a="1"/>
  <c r="I117" i="4"/>
  <c r="I118" i="4" a="1"/>
  <c r="I118" i="4"/>
  <c r="I119" i="4" a="1"/>
  <c r="I119" i="4"/>
  <c r="I120" i="4" a="1"/>
  <c r="I120" i="4"/>
  <c r="I121" i="4" a="1"/>
  <c r="I121" i="4"/>
  <c r="I122" i="4" a="1"/>
  <c r="I122" i="4"/>
  <c r="I123" i="4" a="1"/>
  <c r="I123" i="4"/>
  <c r="I124" i="4" a="1"/>
  <c r="I124" i="4"/>
  <c r="I125" i="4" a="1"/>
  <c r="I125" i="4"/>
  <c r="I126" i="4" a="1"/>
  <c r="I126" i="4"/>
  <c r="I127" i="4" a="1"/>
  <c r="I127" i="4"/>
  <c r="I128" i="4" a="1"/>
  <c r="I128" i="4"/>
  <c r="I129" i="4" a="1"/>
  <c r="I129" i="4"/>
  <c r="I130" i="4" a="1"/>
  <c r="I130" i="4"/>
  <c r="I131" i="4" a="1"/>
  <c r="I131" i="4"/>
  <c r="I132" i="4" a="1"/>
  <c r="I132" i="4"/>
  <c r="I133" i="4" a="1"/>
  <c r="I133" i="4"/>
  <c r="I134" i="4" a="1"/>
  <c r="I134" i="4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140" i="4" a="1"/>
  <c r="I140" i="4" s="1"/>
  <c r="I141" i="4" a="1"/>
  <c r="I141" i="4" s="1"/>
  <c r="I142" i="4" a="1"/>
  <c r="I142" i="4" s="1"/>
  <c r="I143" i="4" a="1"/>
  <c r="I143" i="4" s="1"/>
  <c r="I144" i="4" a="1"/>
  <c r="I144" i="4" s="1"/>
  <c r="I145" i="4" a="1"/>
  <c r="I145" i="4" s="1"/>
  <c r="I146" i="4" a="1"/>
  <c r="I146" i="4" s="1"/>
  <c r="I147" i="4" a="1"/>
  <c r="I147" i="4" s="1"/>
  <c r="I148" i="4" a="1"/>
  <c r="I148" i="4" s="1"/>
  <c r="I149" i="4" a="1"/>
  <c r="I149" i="4" s="1"/>
  <c r="I150" i="4" a="1"/>
  <c r="I150" i="4" s="1"/>
  <c r="I151" i="4" a="1"/>
  <c r="I151" i="4" s="1"/>
  <c r="I152" i="4" a="1"/>
  <c r="I152" i="4" s="1"/>
  <c r="I153" i="4" a="1"/>
  <c r="I153" i="4" s="1"/>
  <c r="I154" i="4" a="1"/>
  <c r="I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I162" i="4" a="1"/>
  <c r="I162" i="4" s="1"/>
  <c r="I163" i="4" a="1"/>
  <c r="I163" i="4" s="1"/>
  <c r="I164" i="4" a="1"/>
  <c r="I164" i="4" s="1"/>
  <c r="I165" i="4" a="1"/>
  <c r="I165" i="4" s="1"/>
  <c r="I166" i="4" a="1"/>
  <c r="I166" i="4" s="1"/>
  <c r="I167" i="4" a="1"/>
  <c r="I167" i="4" s="1"/>
  <c r="I168" i="4" a="1"/>
  <c r="I168" i="4" s="1"/>
  <c r="I169" i="4" a="1"/>
  <c r="I169" i="4" s="1"/>
  <c r="I170" i="4" a="1"/>
  <c r="I170" i="4" s="1"/>
  <c r="I171" i="4" a="1"/>
  <c r="I171" i="4" s="1"/>
  <c r="I172" i="4" a="1"/>
  <c r="I172" i="4" s="1"/>
  <c r="I173" i="4" a="1"/>
  <c r="I173" i="4" s="1"/>
  <c r="I174" i="4" a="1"/>
  <c r="I174" i="4" s="1"/>
  <c r="I175" i="4" a="1"/>
  <c r="I175" i="4" s="1"/>
  <c r="I176" i="4" a="1"/>
  <c r="I176" i="4" s="1"/>
  <c r="I177" i="4" a="1"/>
  <c r="I177" i="4" s="1"/>
  <c r="I178" i="4" a="1"/>
  <c r="I178" i="4" s="1"/>
  <c r="I179" i="4" a="1"/>
  <c r="I179" i="4" s="1"/>
  <c r="I180" i="4" a="1"/>
  <c r="I180" i="4" s="1"/>
  <c r="I181" i="4" a="1"/>
  <c r="I181" i="4" s="1"/>
  <c r="I182" i="4" a="1"/>
  <c r="I182" i="4" s="1"/>
  <c r="I183" i="4" a="1"/>
  <c r="I183" i="4" s="1"/>
  <c r="I184" i="4" a="1"/>
  <c r="I184" i="4" s="1"/>
  <c r="I185" i="4" a="1"/>
  <c r="I185" i="4" s="1"/>
  <c r="I186" i="4" a="1"/>
  <c r="I186" i="4" s="1"/>
  <c r="I187" i="4" a="1"/>
  <c r="I187" i="4" s="1"/>
  <c r="I188" i="4" a="1"/>
  <c r="I188" i="4" s="1"/>
  <c r="I189" i="4" a="1"/>
  <c r="I189" i="4" s="1"/>
  <c r="I190" i="4" a="1"/>
  <c r="I190" i="4" s="1"/>
  <c r="I191" i="4" a="1"/>
  <c r="I191" i="4" s="1"/>
  <c r="I192" i="4" a="1"/>
  <c r="I192" i="4" s="1"/>
  <c r="I193" i="4" a="1"/>
  <c r="I193" i="4" s="1"/>
  <c r="I194" i="4" a="1"/>
  <c r="I194" i="4" s="1"/>
  <c r="I195" i="4" a="1"/>
  <c r="I195" i="4" s="1"/>
  <c r="I196" i="4" a="1"/>
  <c r="I196" i="4" s="1"/>
  <c r="I197" i="4" a="1"/>
  <c r="I197" i="4" s="1"/>
  <c r="I198" i="4" a="1"/>
  <c r="I198" i="4" s="1"/>
  <c r="I199" i="4" a="1"/>
  <c r="I199" i="4" s="1"/>
  <c r="I200" i="4" a="1"/>
  <c r="I200" i="4" s="1"/>
  <c r="I201" i="4" a="1"/>
  <c r="I201" i="4" s="1"/>
  <c r="I202" i="4" a="1"/>
  <c r="I202" i="4"/>
  <c r="I203" i="4" a="1"/>
  <c r="I203" i="4"/>
  <c r="I204" i="4" a="1"/>
  <c r="I204" i="4"/>
  <c r="I205" i="4" a="1"/>
  <c r="I205" i="4"/>
  <c r="I206" i="4" a="1"/>
  <c r="I206" i="4"/>
  <c r="I207" i="4" a="1"/>
  <c r="I207" i="4"/>
  <c r="I208" i="4" a="1"/>
  <c r="I208" i="4"/>
  <c r="I209" i="4" a="1"/>
  <c r="I209" i="4"/>
  <c r="I210" i="4" a="1"/>
  <c r="I210" i="4"/>
  <c r="I211" i="4" a="1"/>
  <c r="I211" i="4"/>
  <c r="I212" i="4" a="1"/>
  <c r="I212" i="4"/>
  <c r="I213" i="4" a="1"/>
  <c r="I213" i="4"/>
  <c r="I214" i="4" a="1"/>
  <c r="I214" i="4"/>
  <c r="I215" i="4" a="1"/>
  <c r="I215" i="4"/>
  <c r="I216" i="4" a="1"/>
  <c r="I216" i="4"/>
  <c r="I217" i="4" a="1"/>
  <c r="I217" i="4"/>
  <c r="I218" i="4" a="1"/>
  <c r="I218" i="4"/>
  <c r="I219" i="4" a="1"/>
  <c r="I219" i="4"/>
  <c r="I220" i="4" a="1"/>
  <c r="I220" i="4"/>
  <c r="I221" i="4" a="1"/>
  <c r="I221" i="4"/>
  <c r="I222" i="4" a="1"/>
  <c r="I222" i="4"/>
  <c r="I223" i="4" a="1"/>
  <c r="I223" i="4"/>
  <c r="I224" i="4" a="1"/>
  <c r="I224" i="4"/>
  <c r="I225" i="4" a="1"/>
  <c r="I225" i="4"/>
  <c r="I226" i="4" a="1"/>
  <c r="I226" i="4"/>
  <c r="I227" i="4" a="1"/>
  <c r="I227" i="4"/>
  <c r="I228" i="4" a="1"/>
  <c r="I228" i="4"/>
  <c r="I229" i="4" a="1"/>
  <c r="I229" i="4"/>
  <c r="I230" i="4" a="1"/>
  <c r="I230" i="4"/>
  <c r="I231" i="4" a="1"/>
  <c r="I231" i="4"/>
  <c r="I232" i="4" a="1"/>
  <c r="I232" i="4"/>
  <c r="I233" i="4" a="1"/>
  <c r="I233" i="4"/>
  <c r="I234" i="4" a="1"/>
  <c r="I234" i="4"/>
  <c r="I235" i="4" a="1"/>
  <c r="I235" i="4"/>
  <c r="I236" i="4" a="1"/>
  <c r="I236" i="4"/>
  <c r="I237" i="4" a="1"/>
  <c r="I237" i="4"/>
  <c r="I238" i="4" a="1"/>
  <c r="I238" i="4"/>
  <c r="I239" i="4" a="1"/>
  <c r="I239" i="4"/>
  <c r="I240" i="4" a="1"/>
  <c r="I240" i="4"/>
  <c r="I241" i="4" a="1"/>
  <c r="I241" i="4"/>
  <c r="I242" i="4" a="1"/>
  <c r="I242" i="4"/>
  <c r="I243" i="4" a="1"/>
  <c r="I243" i="4"/>
  <c r="I244" i="4" a="1"/>
  <c r="I244" i="4"/>
  <c r="I245" i="4" a="1"/>
  <c r="I245" i="4"/>
  <c r="I246" i="4" a="1"/>
  <c r="I246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" i="4"/>
  <c r="G3" i="4" a="1"/>
  <c r="G3" i="4" s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/>
  <c r="G81" i="4" a="1"/>
  <c r="G81" i="4"/>
  <c r="G82" i="4" a="1"/>
  <c r="G82" i="4"/>
  <c r="G83" i="4" a="1"/>
  <c r="G83" i="4"/>
  <c r="G84" i="4" a="1"/>
  <c r="G84" i="4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G101" i="4" a="1"/>
  <c r="G101" i="4" s="1"/>
  <c r="G102" i="4" a="1"/>
  <c r="G102" i="4" s="1"/>
  <c r="G103" i="4" a="1"/>
  <c r="G103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 s="1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 s="1"/>
  <c r="G155" i="4" a="1"/>
  <c r="G155" i="4" s="1"/>
  <c r="G156" i="4" a="1"/>
  <c r="G156" i="4"/>
  <c r="G157" i="4" a="1"/>
  <c r="G157" i="4"/>
  <c r="G158" i="4" a="1"/>
  <c r="G158" i="4"/>
  <c r="G159" i="4" a="1"/>
  <c r="G159" i="4"/>
  <c r="G160" i="4" a="1"/>
  <c r="G160" i="4"/>
  <c r="G161" i="4" a="1"/>
  <c r="G161" i="4"/>
  <c r="G162" i="4" a="1"/>
  <c r="G162" i="4"/>
  <c r="G163" i="4" a="1"/>
  <c r="G163" i="4"/>
  <c r="G164" i="4" a="1"/>
  <c r="G164" i="4"/>
  <c r="G165" i="4" a="1"/>
  <c r="G165" i="4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 s="1"/>
  <c r="G178" i="4" a="1"/>
  <c r="G178" i="4" s="1"/>
  <c r="G179" i="4" a="1"/>
  <c r="G179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G231" i="4" a="1"/>
  <c r="G231" i="4" s="1"/>
  <c r="G232" i="4" a="1"/>
  <c r="G232" i="4" s="1"/>
  <c r="G233" i="4" a="1"/>
  <c r="G233" i="4"/>
  <c r="G234" i="4" a="1"/>
  <c r="G234" i="4"/>
  <c r="G235" i="4" a="1"/>
  <c r="G235" i="4"/>
  <c r="G236" i="4" a="1"/>
  <c r="G236" i="4"/>
  <c r="G237" i="4" a="1"/>
  <c r="G237" i="4"/>
  <c r="G238" i="4" a="1"/>
  <c r="G238" i="4"/>
  <c r="G239" i="4" a="1"/>
  <c r="G239" i="4"/>
  <c r="G240" i="4" a="1"/>
  <c r="G240" i="4"/>
  <c r="G241" i="4" a="1"/>
  <c r="G241" i="4"/>
  <c r="G242" i="4" a="1"/>
  <c r="G242" i="4"/>
  <c r="G243" i="4" a="1"/>
  <c r="G243" i="4"/>
  <c r="G244" i="4" a="1"/>
  <c r="G244" i="4"/>
  <c r="G245" i="4" a="1"/>
  <c r="G245" i="4"/>
  <c r="G246" i="4" a="1"/>
  <c r="G246" i="4"/>
  <c r="G2" i="4" a="1"/>
  <c r="G2" i="4" s="1"/>
  <c r="F246" i="4" a="1"/>
  <c r="F246" i="4" s="1"/>
  <c r="F245" i="4" a="1"/>
  <c r="F245" i="4" s="1"/>
  <c r="F244" i="4" a="1"/>
  <c r="F244" i="4" s="1"/>
  <c r="F243" i="4" a="1"/>
  <c r="F243" i="4" s="1"/>
  <c r="F242" i="4" a="1"/>
  <c r="F242" i="4" s="1"/>
  <c r="F241" i="4" a="1"/>
  <c r="F241" i="4" s="1"/>
  <c r="F240" i="4" a="1"/>
  <c r="F240" i="4" s="1"/>
  <c r="F239" i="4" a="1"/>
  <c r="F239" i="4" s="1"/>
  <c r="F238" i="4" a="1"/>
  <c r="F238" i="4" s="1"/>
  <c r="F237" i="4" a="1"/>
  <c r="F237" i="4" s="1"/>
  <c r="F236" i="4" a="1"/>
  <c r="F236" i="4" s="1"/>
  <c r="F235" i="4" a="1"/>
  <c r="F235" i="4" s="1"/>
  <c r="F234" i="4" a="1"/>
  <c r="F234" i="4" s="1"/>
  <c r="F233" i="4" a="1"/>
  <c r="F233" i="4" s="1"/>
  <c r="F232" i="4" a="1"/>
  <c r="F232" i="4" s="1"/>
  <c r="F231" i="4" a="1"/>
  <c r="F231" i="4" s="1"/>
  <c r="F230" i="4" a="1"/>
  <c r="F230" i="4" s="1"/>
  <c r="F229" i="4" a="1"/>
  <c r="F229" i="4" s="1"/>
  <c r="F228" i="4" a="1"/>
  <c r="F228" i="4" s="1"/>
  <c r="F227" i="4" a="1"/>
  <c r="F227" i="4" s="1"/>
  <c r="F226" i="4" a="1"/>
  <c r="F226" i="4" s="1"/>
  <c r="F225" i="4" a="1"/>
  <c r="F225" i="4" s="1"/>
  <c r="F224" i="4" a="1"/>
  <c r="F224" i="4" s="1"/>
  <c r="F223" i="4" a="1"/>
  <c r="F223" i="4" s="1"/>
  <c r="F222" i="4" a="1"/>
  <c r="F222" i="4" s="1"/>
  <c r="F221" i="4" a="1"/>
  <c r="F221" i="4" s="1"/>
  <c r="F220" i="4" a="1"/>
  <c r="F220" i="4" s="1"/>
  <c r="F219" i="4" a="1"/>
  <c r="F219" i="4" s="1"/>
  <c r="F218" i="4" a="1"/>
  <c r="F218" i="4" s="1"/>
  <c r="F217" i="4" a="1"/>
  <c r="F217" i="4" s="1"/>
  <c r="F216" i="4" a="1"/>
  <c r="F216" i="4" s="1"/>
  <c r="F215" i="4" a="1"/>
  <c r="F215" i="4" s="1"/>
  <c r="F214" i="4" a="1"/>
  <c r="F214" i="4" s="1"/>
  <c r="F213" i="4" a="1"/>
  <c r="F213" i="4" s="1"/>
  <c r="F212" i="4" a="1"/>
  <c r="F212" i="4" s="1"/>
  <c r="F211" i="4" a="1"/>
  <c r="F211" i="4" s="1"/>
  <c r="F210" i="4" a="1"/>
  <c r="F210" i="4" s="1"/>
  <c r="F209" i="4" a="1"/>
  <c r="F209" i="4" s="1"/>
  <c r="F208" i="4" a="1"/>
  <c r="F208" i="4" s="1"/>
  <c r="F207" i="4" a="1"/>
  <c r="F207" i="4" s="1"/>
  <c r="F206" i="4" a="1"/>
  <c r="F206" i="4" s="1"/>
  <c r="F205" i="4" a="1"/>
  <c r="F205" i="4" s="1"/>
  <c r="F204" i="4" a="1"/>
  <c r="F204" i="4" s="1"/>
  <c r="F203" i="4" a="1"/>
  <c r="F203" i="4" s="1"/>
  <c r="F202" i="4" a="1"/>
  <c r="F202" i="4" s="1"/>
  <c r="F201" i="4" a="1"/>
  <c r="F201" i="4" s="1"/>
  <c r="F200" i="4" a="1"/>
  <c r="F200" i="4" s="1"/>
  <c r="F199" i="4" a="1"/>
  <c r="F199" i="4" s="1"/>
  <c r="F198" i="4" a="1"/>
  <c r="F198" i="4" s="1"/>
  <c r="F197" i="4" a="1"/>
  <c r="F197" i="4" s="1"/>
  <c r="F196" i="4" a="1"/>
  <c r="F196" i="4" s="1"/>
  <c r="F195" i="4" a="1"/>
  <c r="F195" i="4" s="1"/>
  <c r="F194" i="4" a="1"/>
  <c r="F194" i="4" s="1"/>
  <c r="F193" i="4" a="1"/>
  <c r="F193" i="4" s="1"/>
  <c r="F192" i="4" a="1"/>
  <c r="F192" i="4" s="1"/>
  <c r="F191" i="4" a="1"/>
  <c r="F191" i="4" s="1"/>
  <c r="F190" i="4" a="1"/>
  <c r="F190" i="4" s="1"/>
  <c r="F189" i="4" a="1"/>
  <c r="F189" i="4" s="1"/>
  <c r="F188" i="4" a="1"/>
  <c r="F188" i="4" s="1"/>
  <c r="F187" i="4" a="1"/>
  <c r="F187" i="4" s="1"/>
  <c r="F186" i="4" a="1"/>
  <c r="F186" i="4" s="1"/>
  <c r="F185" i="4" a="1"/>
  <c r="F185" i="4"/>
  <c r="F184" i="4" a="1"/>
  <c r="F184" i="4"/>
  <c r="F183" i="4" a="1"/>
  <c r="F183" i="4"/>
  <c r="F182" i="4" a="1"/>
  <c r="F182" i="4"/>
  <c r="F181" i="4" a="1"/>
  <c r="F181" i="4" s="1"/>
  <c r="F180" i="4" a="1"/>
  <c r="F180" i="4" s="1"/>
  <c r="F179" i="4" a="1"/>
  <c r="F179" i="4" s="1"/>
  <c r="F178" i="4" a="1"/>
  <c r="F178" i="4" s="1"/>
  <c r="F177" i="4" a="1"/>
  <c r="F177" i="4" s="1"/>
  <c r="F176" i="4" a="1"/>
  <c r="F176" i="4" s="1"/>
  <c r="F175" i="4" a="1"/>
  <c r="F175" i="4" s="1"/>
  <c r="F174" i="4" a="1"/>
  <c r="F174" i="4" s="1"/>
  <c r="F173" i="4" a="1"/>
  <c r="F173" i="4" s="1"/>
  <c r="F172" i="4" a="1"/>
  <c r="F172" i="4" s="1"/>
  <c r="F171" i="4" a="1"/>
  <c r="F171" i="4" s="1"/>
  <c r="F170" i="4" a="1"/>
  <c r="F170" i="4" s="1"/>
  <c r="F169" i="4" a="1"/>
  <c r="F169" i="4" s="1"/>
  <c r="F168" i="4" a="1"/>
  <c r="F168" i="4" s="1"/>
  <c r="F167" i="4" a="1"/>
  <c r="F167" i="4" s="1"/>
  <c r="F166" i="4" a="1"/>
  <c r="F166" i="4" s="1"/>
  <c r="F165" i="4" a="1"/>
  <c r="F165" i="4" s="1"/>
  <c r="F164" i="4" a="1"/>
  <c r="F164" i="4" s="1"/>
  <c r="F163" i="4" a="1"/>
  <c r="F163" i="4" s="1"/>
  <c r="F162" i="4" a="1"/>
  <c r="F162" i="4" s="1"/>
  <c r="F161" i="4" a="1"/>
  <c r="F161" i="4" s="1"/>
  <c r="F160" i="4" a="1"/>
  <c r="F160" i="4" s="1"/>
  <c r="F159" i="4" a="1"/>
  <c r="F159" i="4" s="1"/>
  <c r="F158" i="4" a="1"/>
  <c r="F158" i="4" s="1"/>
  <c r="F157" i="4" a="1"/>
  <c r="F157" i="4" s="1"/>
  <c r="F156" i="4" a="1"/>
  <c r="F156" i="4" s="1"/>
  <c r="F155" i="4" a="1"/>
  <c r="F155" i="4" s="1"/>
  <c r="F154" i="4" a="1"/>
  <c r="F154" i="4" s="1"/>
  <c r="F153" i="4" a="1"/>
  <c r="F153" i="4" s="1"/>
  <c r="F152" i="4" a="1"/>
  <c r="F152" i="4" s="1"/>
  <c r="F151" i="4" a="1"/>
  <c r="F151" i="4" s="1"/>
  <c r="F150" i="4" a="1"/>
  <c r="F150" i="4" s="1"/>
  <c r="F149" i="4" a="1"/>
  <c r="F149" i="4" s="1"/>
  <c r="F148" i="4" a="1"/>
  <c r="F148" i="4" s="1"/>
  <c r="F147" i="4" a="1"/>
  <c r="F147" i="4" s="1"/>
  <c r="F146" i="4" a="1"/>
  <c r="F146" i="4" s="1"/>
  <c r="F145" i="4" a="1"/>
  <c r="F145" i="4" s="1"/>
  <c r="F144" i="4" a="1"/>
  <c r="F144" i="4" s="1"/>
  <c r="F143" i="4" a="1"/>
  <c r="F143" i="4" s="1"/>
  <c r="F142" i="4" a="1"/>
  <c r="F142" i="4" s="1"/>
  <c r="F141" i="4" a="1"/>
  <c r="F141" i="4" s="1"/>
  <c r="F140" i="4" a="1"/>
  <c r="F140" i="4" s="1"/>
  <c r="F139" i="4" a="1"/>
  <c r="F139" i="4" s="1"/>
  <c r="F138" i="4" a="1"/>
  <c r="F138" i="4" s="1"/>
  <c r="F137" i="4" a="1"/>
  <c r="F137" i="4" s="1"/>
  <c r="F136" i="4" a="1"/>
  <c r="F136" i="4" s="1"/>
  <c r="F135" i="4" a="1"/>
  <c r="F135" i="4" s="1"/>
  <c r="F134" i="4" a="1"/>
  <c r="F134" i="4" s="1"/>
  <c r="F133" i="4" a="1"/>
  <c r="F133" i="4" s="1"/>
  <c r="F132" i="4" a="1"/>
  <c r="F132" i="4" s="1"/>
  <c r="F131" i="4" a="1"/>
  <c r="F131" i="4" s="1"/>
  <c r="F130" i="4" a="1"/>
  <c r="F130" i="4" s="1"/>
  <c r="F129" i="4" a="1"/>
  <c r="F129" i="4" s="1"/>
  <c r="F128" i="4" a="1"/>
  <c r="F128" i="4" s="1"/>
  <c r="F127" i="4" a="1"/>
  <c r="F127" i="4" s="1"/>
  <c r="F126" i="4" a="1"/>
  <c r="F126" i="4" s="1"/>
  <c r="F125" i="4" a="1"/>
  <c r="F125" i="4" s="1"/>
  <c r="F124" i="4" a="1"/>
  <c r="F124" i="4" s="1"/>
  <c r="F123" i="4" a="1"/>
  <c r="F123" i="4"/>
  <c r="F122" i="4" a="1"/>
  <c r="F122" i="4"/>
  <c r="F121" i="4" a="1"/>
  <c r="F121" i="4"/>
  <c r="F120" i="4" a="1"/>
  <c r="F120" i="4"/>
  <c r="F119" i="4" a="1"/>
  <c r="F119" i="4"/>
  <c r="F118" i="4" a="1"/>
  <c r="F118" i="4"/>
  <c r="F117" i="4" a="1"/>
  <c r="F117" i="4"/>
  <c r="F116" i="4" a="1"/>
  <c r="F116" i="4"/>
  <c r="F115" i="4" a="1"/>
  <c r="F115" i="4" s="1"/>
  <c r="F114" i="4" a="1"/>
  <c r="F114" i="4" s="1"/>
  <c r="F113" i="4" a="1"/>
  <c r="F113" i="4" s="1"/>
  <c r="F112" i="4" a="1"/>
  <c r="F112" i="4" s="1"/>
  <c r="F111" i="4" a="1"/>
  <c r="F111" i="4" s="1"/>
  <c r="F110" i="4" a="1"/>
  <c r="F110" i="4" s="1"/>
  <c r="F109" i="4" a="1"/>
  <c r="F109" i="4" s="1"/>
  <c r="F108" i="4" a="1"/>
  <c r="F108" i="4" s="1"/>
  <c r="F107" i="4" a="1"/>
  <c r="F107" i="4" s="1"/>
  <c r="F106" i="4" a="1"/>
  <c r="F106" i="4" s="1"/>
  <c r="F105" i="4" a="1"/>
  <c r="F105" i="4" s="1"/>
  <c r="F104" i="4" a="1"/>
  <c r="F104" i="4" s="1"/>
  <c r="F103" i="4" a="1"/>
  <c r="F103" i="4" s="1"/>
  <c r="F102" i="4" a="1"/>
  <c r="F102" i="4" s="1"/>
  <c r="F101" i="4" a="1"/>
  <c r="F101" i="4" s="1"/>
  <c r="F100" i="4" a="1"/>
  <c r="F100" i="4" s="1"/>
  <c r="F99" i="4" a="1"/>
  <c r="F99" i="4" s="1"/>
  <c r="F98" i="4" a="1"/>
  <c r="F98" i="4" s="1"/>
  <c r="F97" i="4" a="1"/>
  <c r="F97" i="4" s="1"/>
  <c r="F96" i="4" a="1"/>
  <c r="F96" i="4" s="1"/>
  <c r="F95" i="4" a="1"/>
  <c r="F95" i="4" s="1"/>
  <c r="F94" i="4" a="1"/>
  <c r="F94" i="4" s="1"/>
  <c r="F93" i="4" a="1"/>
  <c r="F93" i="4" s="1"/>
  <c r="F92" i="4" a="1"/>
  <c r="F92" i="4" s="1"/>
  <c r="F91" i="4" a="1"/>
  <c r="F91" i="4" s="1"/>
  <c r="F90" i="4" a="1"/>
  <c r="F90" i="4" s="1"/>
  <c r="F89" i="4" a="1"/>
  <c r="F89" i="4" s="1"/>
  <c r="F88" i="4" a="1"/>
  <c r="F88" i="4" s="1"/>
  <c r="F87" i="4" a="1"/>
  <c r="F87" i="4" s="1"/>
  <c r="F86" i="4" a="1"/>
  <c r="F86" i="4" s="1"/>
  <c r="F85" i="4" a="1"/>
  <c r="F85" i="4" s="1"/>
  <c r="F84" i="4" a="1"/>
  <c r="F84" i="4" s="1"/>
  <c r="F83" i="4" a="1"/>
  <c r="F83" i="4" s="1"/>
  <c r="F82" i="4" a="1"/>
  <c r="F82" i="4" s="1"/>
  <c r="F81" i="4" a="1"/>
  <c r="F81" i="4" s="1"/>
  <c r="F80" i="4" a="1"/>
  <c r="F80" i="4" s="1"/>
  <c r="F79" i="4" a="1"/>
  <c r="F79" i="4" s="1"/>
  <c r="F78" i="4" a="1"/>
  <c r="F78" i="4" s="1"/>
  <c r="F77" i="4" a="1"/>
  <c r="F77" i="4" s="1"/>
  <c r="F76" i="4" a="1"/>
  <c r="F76" i="4" s="1"/>
  <c r="F75" i="4" a="1"/>
  <c r="F75" i="4" s="1"/>
  <c r="F74" i="4" a="1"/>
  <c r="F74" i="4" s="1"/>
  <c r="F73" i="4" a="1"/>
  <c r="F73" i="4" s="1"/>
  <c r="F72" i="4" a="1"/>
  <c r="F72" i="4" s="1"/>
  <c r="F71" i="4" a="1"/>
  <c r="F71" i="4" s="1"/>
  <c r="F70" i="4" a="1"/>
  <c r="F70" i="4" s="1"/>
  <c r="F69" i="4" a="1"/>
  <c r="F69" i="4" s="1"/>
  <c r="F68" i="4" a="1"/>
  <c r="F68" i="4" s="1"/>
  <c r="F67" i="4" a="1"/>
  <c r="F67" i="4" s="1"/>
  <c r="F66" i="4" a="1"/>
  <c r="F66" i="4" s="1"/>
  <c r="F65" i="4" a="1"/>
  <c r="F65" i="4" s="1"/>
  <c r="F64" i="4" a="1"/>
  <c r="F64" i="4" s="1"/>
  <c r="F63" i="4" a="1"/>
  <c r="F63" i="4" s="1"/>
  <c r="F62" i="4" a="1"/>
  <c r="F62" i="4"/>
  <c r="F61" i="4" a="1"/>
  <c r="F61" i="4"/>
  <c r="F60" i="4" a="1"/>
  <c r="F60" i="4"/>
  <c r="F59" i="4" a="1"/>
  <c r="F59" i="4"/>
  <c r="F58" i="4" a="1"/>
  <c r="F58" i="4"/>
  <c r="F57" i="4" a="1"/>
  <c r="F57" i="4"/>
  <c r="F56" i="4" a="1"/>
  <c r="F56" i="4"/>
  <c r="F55" i="4" a="1"/>
  <c r="F55" i="4"/>
  <c r="F54" i="4" a="1"/>
  <c r="F54" i="4"/>
  <c r="F53" i="4" a="1"/>
  <c r="F53" i="4"/>
  <c r="F52" i="4" a="1"/>
  <c r="F52" i="4"/>
  <c r="F51" i="4" a="1"/>
  <c r="F51" i="4"/>
  <c r="F50" i="4" a="1"/>
  <c r="F50" i="4" s="1"/>
  <c r="F49" i="4" a="1"/>
  <c r="F49" i="4" s="1"/>
  <c r="F48" i="4" a="1"/>
  <c r="F48" i="4" s="1"/>
  <c r="F47" i="4" a="1"/>
  <c r="F47" i="4" s="1"/>
  <c r="F46" i="4" a="1"/>
  <c r="F46" i="4" s="1"/>
  <c r="F45" i="4" a="1"/>
  <c r="F45" i="4" s="1"/>
  <c r="F44" i="4" a="1"/>
  <c r="F44" i="4" s="1"/>
  <c r="F43" i="4" a="1"/>
  <c r="F43" i="4" s="1"/>
  <c r="F42" i="4" a="1"/>
  <c r="F42" i="4" s="1"/>
  <c r="F41" i="4" a="1"/>
  <c r="F41" i="4" s="1"/>
  <c r="F40" i="4" a="1"/>
  <c r="F40" i="4" s="1"/>
  <c r="F39" i="4" a="1"/>
  <c r="F39" i="4" s="1"/>
  <c r="F38" i="4" a="1"/>
  <c r="F38" i="4" s="1"/>
  <c r="F37" i="4" a="1"/>
  <c r="F37" i="4" s="1"/>
  <c r="F36" i="4" a="1"/>
  <c r="F36" i="4" s="1"/>
  <c r="F35" i="4" a="1"/>
  <c r="F35" i="4" s="1"/>
  <c r="F34" i="4" a="1"/>
  <c r="F34" i="4" s="1"/>
  <c r="F33" i="4" a="1"/>
  <c r="F33" i="4" s="1"/>
  <c r="F32" i="4" a="1"/>
  <c r="F32" i="4" s="1"/>
  <c r="F31" i="4" a="1"/>
  <c r="F31" i="4" s="1"/>
  <c r="F30" i="4" a="1"/>
  <c r="F30" i="4" s="1"/>
  <c r="F29" i="4" a="1"/>
  <c r="F29" i="4" s="1"/>
  <c r="F28" i="4" a="1"/>
  <c r="F28" i="4" s="1"/>
  <c r="F27" i="4" a="1"/>
  <c r="F27" i="4" s="1"/>
  <c r="F26" i="4" a="1"/>
  <c r="F26" i="4" s="1"/>
  <c r="F25" i="4" a="1"/>
  <c r="F25" i="4" s="1"/>
  <c r="F24" i="4" a="1"/>
  <c r="F24" i="4" s="1"/>
  <c r="F23" i="4" a="1"/>
  <c r="F23" i="4" s="1"/>
  <c r="F22" i="4" a="1"/>
  <c r="F22" i="4" s="1"/>
  <c r="F21" i="4" a="1"/>
  <c r="F21" i="4" s="1"/>
  <c r="F20" i="4" a="1"/>
  <c r="F20" i="4" s="1"/>
  <c r="F19" i="4" a="1"/>
  <c r="F19" i="4" s="1"/>
  <c r="F18" i="4" a="1"/>
  <c r="F18" i="4" s="1"/>
  <c r="F17" i="4" a="1"/>
  <c r="F17" i="4" s="1"/>
  <c r="F16" i="4" a="1"/>
  <c r="F16" i="4" s="1"/>
  <c r="F15" i="4" a="1"/>
  <c r="F15" i="4" s="1"/>
  <c r="F14" i="4" a="1"/>
  <c r="F14" i="4" s="1"/>
  <c r="F13" i="4" a="1"/>
  <c r="F13" i="4" s="1"/>
  <c r="F12" i="4" a="1"/>
  <c r="F12" i="4" s="1"/>
  <c r="F11" i="4" a="1"/>
  <c r="F11" i="4" s="1"/>
  <c r="F10" i="4" a="1"/>
  <c r="F10" i="4" s="1"/>
  <c r="F9" i="4" a="1"/>
  <c r="F9" i="4" s="1"/>
  <c r="F8" i="4" a="1"/>
  <c r="F8" i="4" s="1"/>
  <c r="F7" i="4" a="1"/>
  <c r="F7" i="4" s="1"/>
  <c r="F6" i="4" a="1"/>
  <c r="F6" i="4" s="1"/>
  <c r="F5" i="4" a="1"/>
  <c r="F5" i="4" s="1"/>
  <c r="F4" i="4" a="1"/>
  <c r="F4" i="4" s="1"/>
  <c r="F3" i="4" a="1"/>
  <c r="F3" i="4" s="1"/>
  <c r="F2" i="4" a="1"/>
  <c r="F2" i="4" s="1"/>
  <c r="E2" i="4" a="1"/>
  <c r="E2" i="4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 s="1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49" i="4" a="1"/>
  <c r="E49" i="4"/>
  <c r="E50" i="4" a="1"/>
  <c r="E50" i="4"/>
  <c r="E51" i="4" a="1"/>
  <c r="E51" i="4"/>
  <c r="E52" i="4" a="1"/>
  <c r="E52" i="4"/>
  <c r="E53" i="4" a="1"/>
  <c r="E53" i="4" s="1"/>
  <c r="E54" i="4" a="1"/>
  <c r="E54" i="4" s="1"/>
  <c r="E55" i="4" a="1"/>
  <c r="E55" i="4" s="1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61" i="4" a="1"/>
  <c r="E61" i="4" s="1"/>
  <c r="E62" i="4" a="1"/>
  <c r="E62" i="4" s="1"/>
  <c r="E63" i="4" a="1"/>
  <c r="E63" i="4" s="1"/>
  <c r="E64" i="4" a="1"/>
  <c r="E64" i="4" s="1"/>
  <c r="E65" i="4" a="1"/>
  <c r="E65" i="4" s="1"/>
  <c r="E66" i="4" a="1"/>
  <c r="E66" i="4" s="1"/>
  <c r="E67" i="4" a="1"/>
  <c r="E67" i="4" s="1"/>
  <c r="E68" i="4" a="1"/>
  <c r="E68" i="4" s="1"/>
  <c r="E69" i="4" a="1"/>
  <c r="E69" i="4" s="1"/>
  <c r="E70" i="4" a="1"/>
  <c r="E70" i="4" s="1"/>
  <c r="E71" i="4" a="1"/>
  <c r="E71" i="4" s="1"/>
  <c r="E72" i="4" a="1"/>
  <c r="E72" i="4" s="1"/>
  <c r="E73" i="4" a="1"/>
  <c r="E73" i="4" s="1"/>
  <c r="E74" i="4" a="1"/>
  <c r="E74" i="4" s="1"/>
  <c r="E75" i="4" a="1"/>
  <c r="E75" i="4" s="1"/>
  <c r="E76" i="4" a="1"/>
  <c r="E76" i="4" s="1"/>
  <c r="E77" i="4" a="1"/>
  <c r="E77" i="4" s="1"/>
  <c r="E78" i="4" a="1"/>
  <c r="E78" i="4" s="1"/>
  <c r="E79" i="4" a="1"/>
  <c r="E79" i="4" s="1"/>
  <c r="E80" i="4" a="1"/>
  <c r="E80" i="4" s="1"/>
  <c r="E81" i="4" a="1"/>
  <c r="E81" i="4" s="1"/>
  <c r="E82" i="4" a="1"/>
  <c r="E82" i="4" s="1"/>
  <c r="E83" i="4" a="1"/>
  <c r="E83" i="4" s="1"/>
  <c r="E84" i="4" a="1"/>
  <c r="E84" i="4" s="1"/>
  <c r="E85" i="4" a="1"/>
  <c r="E85" i="4" s="1"/>
  <c r="E86" i="4" a="1"/>
  <c r="E86" i="4" s="1"/>
  <c r="E87" i="4" a="1"/>
  <c r="E87" i="4" s="1"/>
  <c r="E88" i="4" a="1"/>
  <c r="E88" i="4" s="1"/>
  <c r="E89" i="4" a="1"/>
  <c r="E89" i="4" s="1"/>
  <c r="E90" i="4" a="1"/>
  <c r="E90" i="4" s="1"/>
  <c r="E91" i="4" a="1"/>
  <c r="E91" i="4" s="1"/>
  <c r="E92" i="4" a="1"/>
  <c r="E92" i="4" s="1"/>
  <c r="E93" i="4" a="1"/>
  <c r="E93" i="4" s="1"/>
  <c r="E94" i="4" a="1"/>
  <c r="E94" i="4" s="1"/>
  <c r="E95" i="4" a="1"/>
  <c r="E95" i="4"/>
  <c r="E96" i="4" a="1"/>
  <c r="E96" i="4"/>
  <c r="E97" i="4" a="1"/>
  <c r="E97" i="4"/>
  <c r="E98" i="4" a="1"/>
  <c r="E98" i="4"/>
  <c r="E99" i="4" a="1"/>
  <c r="E99" i="4"/>
  <c r="E100" i="4" a="1"/>
  <c r="E100" i="4"/>
  <c r="E101" i="4" a="1"/>
  <c r="E101" i="4"/>
  <c r="E102" i="4" a="1"/>
  <c r="E102" i="4" s="1"/>
  <c r="E103" i="4" a="1"/>
  <c r="E103" i="4" s="1"/>
  <c r="E104" i="4" a="1"/>
  <c r="E104" i="4" s="1"/>
  <c r="E105" i="4" a="1"/>
  <c r="E105" i="4" s="1"/>
  <c r="E106" i="4" a="1"/>
  <c r="E106" i="4" s="1"/>
  <c r="E107" i="4" a="1"/>
  <c r="E107" i="4" s="1"/>
  <c r="E108" i="4" a="1"/>
  <c r="E108" i="4" s="1"/>
  <c r="E109" i="4" a="1"/>
  <c r="E109" i="4" s="1"/>
  <c r="E110" i="4" a="1"/>
  <c r="E110" i="4" s="1"/>
  <c r="E111" i="4" a="1"/>
  <c r="E111" i="4" s="1"/>
  <c r="E112" i="4" a="1"/>
  <c r="E112" i="4" s="1"/>
  <c r="E113" i="4" a="1"/>
  <c r="E113" i="4" s="1"/>
  <c r="E114" i="4" a="1"/>
  <c r="E114" i="4" s="1"/>
  <c r="E115" i="4" a="1"/>
  <c r="E115" i="4" s="1"/>
  <c r="E116" i="4" a="1"/>
  <c r="E116" i="4" s="1"/>
  <c r="E117" i="4" a="1"/>
  <c r="E117" i="4" s="1"/>
  <c r="E118" i="4" a="1"/>
  <c r="E118" i="4" s="1"/>
  <c r="E119" i="4" a="1"/>
  <c r="E119" i="4" s="1"/>
  <c r="E120" i="4" a="1"/>
  <c r="E120" i="4" s="1"/>
  <c r="E121" i="4" a="1"/>
  <c r="E121" i="4" s="1"/>
  <c r="E122" i="4" a="1"/>
  <c r="E122" i="4" s="1"/>
  <c r="E123" i="4" a="1"/>
  <c r="E123" i="4" s="1"/>
  <c r="E124" i="4" a="1"/>
  <c r="E124" i="4" s="1"/>
  <c r="E125" i="4" a="1"/>
  <c r="E125" i="4" s="1"/>
  <c r="E126" i="4" a="1"/>
  <c r="E126" i="4" s="1"/>
  <c r="E127" i="4" a="1"/>
  <c r="E127" i="4" s="1"/>
  <c r="E128" i="4" a="1"/>
  <c r="E128" i="4" s="1"/>
  <c r="E129" i="4" a="1"/>
  <c r="E129" i="4" s="1"/>
  <c r="E130" i="4" a="1"/>
  <c r="E130" i="4" s="1"/>
  <c r="E131" i="4" a="1"/>
  <c r="E131" i="4" s="1"/>
  <c r="E132" i="4" a="1"/>
  <c r="E132" i="4" s="1"/>
  <c r="E133" i="4" a="1"/>
  <c r="E133" i="4" s="1"/>
  <c r="E134" i="4" a="1"/>
  <c r="E134" i="4" s="1"/>
  <c r="E135" i="4" a="1"/>
  <c r="E135" i="4" s="1"/>
  <c r="E136" i="4" a="1"/>
  <c r="E136" i="4" s="1"/>
  <c r="E137" i="4" a="1"/>
  <c r="E137" i="4" s="1"/>
  <c r="E138" i="4" a="1"/>
  <c r="E138" i="4" s="1"/>
  <c r="E139" i="4" a="1"/>
  <c r="E139" i="4" s="1"/>
  <c r="E140" i="4" a="1"/>
  <c r="E140" i="4" s="1"/>
  <c r="E141" i="4" a="1"/>
  <c r="E141" i="4"/>
  <c r="E142" i="4" a="1"/>
  <c r="E142" i="4"/>
  <c r="E143" i="4" a="1"/>
  <c r="E143" i="4"/>
  <c r="E144" i="4" a="1"/>
  <c r="E144" i="4"/>
  <c r="E145" i="4" a="1"/>
  <c r="E145" i="4"/>
  <c r="E146" i="4" a="1"/>
  <c r="E146" i="4"/>
  <c r="E147" i="4" a="1"/>
  <c r="E147" i="4"/>
  <c r="E148" i="4" a="1"/>
  <c r="E148" i="4"/>
  <c r="E149" i="4" a="1"/>
  <c r="E149" i="4"/>
  <c r="E150" i="4" a="1"/>
  <c r="E150" i="4"/>
  <c r="E151" i="4" a="1"/>
  <c r="E151" i="4" s="1"/>
  <c r="E152" i="4" a="1"/>
  <c r="E152" i="4" s="1"/>
  <c r="E153" i="4" a="1"/>
  <c r="E153" i="4" s="1"/>
  <c r="E154" i="4" a="1"/>
  <c r="E154" i="4" s="1"/>
  <c r="E155" i="4" a="1"/>
  <c r="E155" i="4" s="1"/>
  <c r="E156" i="4" a="1"/>
  <c r="E156" i="4" s="1"/>
  <c r="E157" i="4" a="1"/>
  <c r="E157" i="4" s="1"/>
  <c r="E158" i="4" a="1"/>
  <c r="E158" i="4" s="1"/>
  <c r="E159" i="4" a="1"/>
  <c r="E159" i="4" s="1"/>
  <c r="E160" i="4" a="1"/>
  <c r="E160" i="4" s="1"/>
  <c r="E161" i="4" a="1"/>
  <c r="E161" i="4" s="1"/>
  <c r="E162" i="4" a="1"/>
  <c r="E162" i="4" s="1"/>
  <c r="E163" i="4" a="1"/>
  <c r="E163" i="4" s="1"/>
  <c r="E164" i="4" a="1"/>
  <c r="E164" i="4" s="1"/>
  <c r="E165" i="4" a="1"/>
  <c r="E165" i="4" s="1"/>
  <c r="E166" i="4" a="1"/>
  <c r="E166" i="4" s="1"/>
  <c r="E167" i="4" a="1"/>
  <c r="E167" i="4" s="1"/>
  <c r="E168" i="4" a="1"/>
  <c r="E168" i="4" s="1"/>
  <c r="E169" i="4" a="1"/>
  <c r="E169" i="4" s="1"/>
  <c r="E170" i="4" a="1"/>
  <c r="E170" i="4" s="1"/>
  <c r="E171" i="4" a="1"/>
  <c r="E171" i="4" s="1"/>
  <c r="E172" i="4" a="1"/>
  <c r="E172" i="4" s="1"/>
  <c r="E173" i="4" a="1"/>
  <c r="E173" i="4" s="1"/>
  <c r="E174" i="4" a="1"/>
  <c r="E174" i="4" s="1"/>
  <c r="E175" i="4" a="1"/>
  <c r="E175" i="4" s="1"/>
  <c r="E176" i="4" a="1"/>
  <c r="E176" i="4" s="1"/>
  <c r="E177" i="4" a="1"/>
  <c r="E177" i="4" s="1"/>
  <c r="E178" i="4" a="1"/>
  <c r="E178" i="4" s="1"/>
  <c r="E179" i="4" a="1"/>
  <c r="E179" i="4" s="1"/>
  <c r="E180" i="4" a="1"/>
  <c r="E180" i="4" s="1"/>
  <c r="E181" i="4" a="1"/>
  <c r="E181" i="4" s="1"/>
  <c r="E182" i="4" a="1"/>
  <c r="E182" i="4" s="1"/>
  <c r="E183" i="4" a="1"/>
  <c r="E183" i="4" s="1"/>
  <c r="E184" i="4" a="1"/>
  <c r="E184" i="4" s="1"/>
  <c r="E185" i="4" a="1"/>
  <c r="E185" i="4" s="1"/>
  <c r="E186" i="4" a="1"/>
  <c r="E186" i="4" s="1"/>
  <c r="E187" i="4" a="1"/>
  <c r="E187" i="4"/>
  <c r="E188" i="4" a="1"/>
  <c r="E188" i="4"/>
  <c r="E189" i="4" a="1"/>
  <c r="E189" i="4"/>
  <c r="E190" i="4" a="1"/>
  <c r="E190" i="4"/>
  <c r="E191" i="4" a="1"/>
  <c r="E191" i="4"/>
  <c r="E192" i="4" a="1"/>
  <c r="E192" i="4"/>
  <c r="E193" i="4" a="1"/>
  <c r="E193" i="4"/>
  <c r="E194" i="4" a="1"/>
  <c r="E194" i="4"/>
  <c r="E195" i="4" a="1"/>
  <c r="E195" i="4"/>
  <c r="E196" i="4" a="1"/>
  <c r="E196" i="4"/>
  <c r="E197" i="4" a="1"/>
  <c r="E197" i="4"/>
  <c r="E198" i="4" a="1"/>
  <c r="E198" i="4"/>
  <c r="E199" i="4" a="1"/>
  <c r="E199" i="4" s="1"/>
  <c r="E200" i="4" a="1"/>
  <c r="E200" i="4" s="1"/>
  <c r="E201" i="4" a="1"/>
  <c r="E201" i="4" s="1"/>
  <c r="E202" i="4" a="1"/>
  <c r="E202" i="4" s="1"/>
  <c r="E203" i="4" a="1"/>
  <c r="E203" i="4" s="1"/>
  <c r="E204" i="4" a="1"/>
  <c r="E204" i="4" s="1"/>
  <c r="E205" i="4" a="1"/>
  <c r="E205" i="4" s="1"/>
  <c r="E206" i="4" a="1"/>
  <c r="E206" i="4" s="1"/>
  <c r="E207" i="4" a="1"/>
  <c r="E207" i="4" s="1"/>
  <c r="E208" i="4" a="1"/>
  <c r="E208" i="4" s="1"/>
  <c r="E209" i="4" a="1"/>
  <c r="E209" i="4" s="1"/>
  <c r="E210" i="4" a="1"/>
  <c r="E210" i="4" s="1"/>
  <c r="E211" i="4" a="1"/>
  <c r="E211" i="4" s="1"/>
  <c r="E212" i="4" a="1"/>
  <c r="E212" i="4" s="1"/>
  <c r="E213" i="4" a="1"/>
  <c r="E213" i="4" s="1"/>
  <c r="E214" i="4" a="1"/>
  <c r="E214" i="4" s="1"/>
  <c r="E215" i="4" a="1"/>
  <c r="E215" i="4" s="1"/>
  <c r="E216" i="4" a="1"/>
  <c r="E216" i="4" s="1"/>
  <c r="E217" i="4" a="1"/>
  <c r="E217" i="4" s="1"/>
  <c r="E218" i="4" a="1"/>
  <c r="E218" i="4" s="1"/>
  <c r="E219" i="4" a="1"/>
  <c r="E219" i="4" s="1"/>
  <c r="E220" i="4" a="1"/>
  <c r="E220" i="4" s="1"/>
  <c r="E221" i="4" a="1"/>
  <c r="E221" i="4" s="1"/>
  <c r="E222" i="4" a="1"/>
  <c r="E222" i="4" s="1"/>
  <c r="E223" i="4" a="1"/>
  <c r="E223" i="4" s="1"/>
  <c r="E224" i="4" a="1"/>
  <c r="E224" i="4" s="1"/>
  <c r="E225" i="4" a="1"/>
  <c r="E225" i="4" s="1"/>
  <c r="E226" i="4" a="1"/>
  <c r="E226" i="4" s="1"/>
  <c r="E227" i="4" a="1"/>
  <c r="E227" i="4" s="1"/>
  <c r="E228" i="4" a="1"/>
  <c r="E228" i="4" s="1"/>
  <c r="E229" i="4" a="1"/>
  <c r="E229" i="4" s="1"/>
  <c r="E230" i="4" a="1"/>
  <c r="E230" i="4" s="1"/>
  <c r="E231" i="4" a="1"/>
  <c r="E231" i="4" s="1"/>
  <c r="E232" i="4" a="1"/>
  <c r="E232" i="4" s="1"/>
  <c r="E233" i="4" a="1"/>
  <c r="E233" i="4"/>
  <c r="E234" i="4" a="1"/>
  <c r="E234" i="4"/>
  <c r="E235" i="4" a="1"/>
  <c r="E235" i="4"/>
  <c r="E236" i="4" a="1"/>
  <c r="E236" i="4"/>
  <c r="E237" i="4" a="1"/>
  <c r="E237" i="4"/>
  <c r="E238" i="4" a="1"/>
  <c r="E238" i="4"/>
  <c r="E239" i="4" a="1"/>
  <c r="E239" i="4"/>
  <c r="E240" i="4" a="1"/>
  <c r="E240" i="4"/>
  <c r="E241" i="4" a="1"/>
  <c r="E241" i="4"/>
  <c r="E242" i="4" a="1"/>
  <c r="E242" i="4"/>
  <c r="E243" i="4" a="1"/>
  <c r="E243" i="4"/>
  <c r="E244" i="4" a="1"/>
  <c r="E244" i="4"/>
  <c r="E245" i="4" a="1"/>
  <c r="E245" i="4"/>
  <c r="E246" i="4" a="1"/>
  <c r="E246" i="4"/>
  <c r="H249" i="3"/>
  <c r="G249" i="3"/>
  <c r="F249" i="3"/>
  <c r="H248" i="3"/>
  <c r="G248" i="3"/>
  <c r="F248" i="3"/>
  <c r="H247" i="3"/>
  <c r="G247" i="3"/>
  <c r="F247" i="3"/>
  <c r="H246" i="3"/>
  <c r="G246" i="3"/>
  <c r="F246" i="3"/>
  <c r="H245" i="3"/>
  <c r="G245" i="3"/>
  <c r="F245" i="3"/>
  <c r="H244" i="3"/>
  <c r="G244" i="3"/>
  <c r="F244" i="3"/>
  <c r="H243" i="3"/>
  <c r="G243" i="3"/>
  <c r="F243" i="3"/>
  <c r="H242" i="3"/>
  <c r="G242" i="3"/>
  <c r="F242" i="3"/>
  <c r="H241" i="3"/>
  <c r="G241" i="3"/>
  <c r="F241" i="3"/>
  <c r="H240" i="3"/>
  <c r="G240" i="3"/>
  <c r="F240" i="3"/>
  <c r="H239" i="3"/>
  <c r="G239" i="3"/>
  <c r="F239" i="3"/>
  <c r="H238" i="3"/>
  <c r="G238" i="3"/>
  <c r="F238" i="3"/>
  <c r="H237" i="3"/>
  <c r="G237" i="3"/>
  <c r="F237" i="3"/>
  <c r="H236" i="3"/>
  <c r="G236" i="3"/>
  <c r="F236" i="3"/>
  <c r="H235" i="3"/>
  <c r="G235" i="3"/>
  <c r="F235" i="3"/>
  <c r="H234" i="3"/>
  <c r="G234" i="3"/>
  <c r="F234" i="3"/>
  <c r="H233" i="3"/>
  <c r="G233" i="3"/>
  <c r="F233" i="3"/>
  <c r="H232" i="3"/>
  <c r="G232" i="3"/>
  <c r="F232" i="3"/>
  <c r="H231" i="3"/>
  <c r="G231" i="3"/>
  <c r="F231" i="3"/>
  <c r="H230" i="3"/>
  <c r="G230" i="3"/>
  <c r="F230" i="3"/>
  <c r="H229" i="3"/>
  <c r="G229" i="3"/>
  <c r="F229" i="3"/>
  <c r="H228" i="3"/>
  <c r="G228" i="3"/>
  <c r="F228" i="3"/>
  <c r="H227" i="3"/>
  <c r="G227" i="3"/>
  <c r="F227" i="3"/>
  <c r="H226" i="3"/>
  <c r="G226" i="3"/>
  <c r="F226" i="3"/>
  <c r="H225" i="3"/>
  <c r="G225" i="3"/>
  <c r="F225" i="3"/>
  <c r="H224" i="3"/>
  <c r="G224" i="3"/>
  <c r="F224" i="3"/>
  <c r="H223" i="3"/>
  <c r="G223" i="3"/>
  <c r="F223" i="3"/>
  <c r="H222" i="3"/>
  <c r="G222" i="3"/>
  <c r="F222" i="3"/>
  <c r="H221" i="3"/>
  <c r="G221" i="3"/>
  <c r="F221" i="3"/>
  <c r="H220" i="3"/>
  <c r="G220" i="3"/>
  <c r="F220" i="3"/>
  <c r="H219" i="3"/>
  <c r="G219" i="3"/>
  <c r="F219" i="3"/>
  <c r="H218" i="3"/>
  <c r="G218" i="3"/>
  <c r="F218" i="3"/>
  <c r="H217" i="3"/>
  <c r="G217" i="3"/>
  <c r="F217" i="3"/>
  <c r="H216" i="3"/>
  <c r="G216" i="3"/>
  <c r="F216" i="3"/>
  <c r="H215" i="3"/>
  <c r="G215" i="3"/>
  <c r="F215" i="3"/>
  <c r="H214" i="3"/>
  <c r="G214" i="3"/>
  <c r="F214" i="3"/>
  <c r="H213" i="3"/>
  <c r="G213" i="3"/>
  <c r="F213" i="3"/>
  <c r="H212" i="3"/>
  <c r="G212" i="3"/>
  <c r="F212" i="3"/>
  <c r="H211" i="3"/>
  <c r="G211" i="3"/>
  <c r="F211" i="3"/>
  <c r="H210" i="3"/>
  <c r="G210" i="3"/>
  <c r="F210" i="3"/>
  <c r="H209" i="3"/>
  <c r="G209" i="3"/>
  <c r="F209" i="3"/>
  <c r="H208" i="3"/>
  <c r="G208" i="3"/>
  <c r="F208" i="3"/>
  <c r="H207" i="3"/>
  <c r="G207" i="3"/>
  <c r="F207" i="3"/>
  <c r="H206" i="3"/>
  <c r="G206" i="3"/>
  <c r="F206" i="3"/>
  <c r="H205" i="3"/>
  <c r="G205" i="3"/>
  <c r="F205" i="3"/>
  <c r="H204" i="3"/>
  <c r="G204" i="3"/>
  <c r="F204" i="3"/>
  <c r="H203" i="3"/>
  <c r="G203" i="3"/>
  <c r="F203" i="3"/>
  <c r="H202" i="3"/>
  <c r="G202" i="3"/>
  <c r="F202" i="3"/>
  <c r="H201" i="3"/>
  <c r="G201" i="3"/>
  <c r="F201" i="3"/>
  <c r="H200" i="3"/>
  <c r="G200" i="3"/>
  <c r="F200" i="3"/>
  <c r="H199" i="3"/>
  <c r="G199" i="3"/>
  <c r="F199" i="3"/>
  <c r="H198" i="3"/>
  <c r="G198" i="3"/>
  <c r="F198" i="3"/>
  <c r="H197" i="3"/>
  <c r="G197" i="3"/>
  <c r="F197" i="3"/>
  <c r="H196" i="3"/>
  <c r="G196" i="3"/>
  <c r="F196" i="3"/>
  <c r="H195" i="3"/>
  <c r="G195" i="3"/>
  <c r="F195" i="3"/>
  <c r="H194" i="3"/>
  <c r="G194" i="3"/>
  <c r="F194" i="3"/>
  <c r="H193" i="3"/>
  <c r="G193" i="3"/>
  <c r="F193" i="3"/>
  <c r="H192" i="3"/>
  <c r="G192" i="3"/>
  <c r="F192" i="3"/>
  <c r="H191" i="3"/>
  <c r="G191" i="3"/>
  <c r="F191" i="3"/>
  <c r="H190" i="3"/>
  <c r="G190" i="3"/>
  <c r="F190" i="3"/>
  <c r="H189" i="3"/>
  <c r="G189" i="3"/>
  <c r="F189" i="3"/>
  <c r="H188" i="3"/>
  <c r="G188" i="3"/>
  <c r="F188" i="3"/>
  <c r="H187" i="3"/>
  <c r="G187" i="3"/>
  <c r="F187" i="3"/>
  <c r="H186" i="3"/>
  <c r="G186" i="3"/>
  <c r="F186" i="3"/>
  <c r="H185" i="3"/>
  <c r="G185" i="3"/>
  <c r="F185" i="3"/>
  <c r="H184" i="3"/>
  <c r="G184" i="3"/>
  <c r="F184" i="3"/>
  <c r="H183" i="3"/>
  <c r="G183" i="3"/>
  <c r="F183" i="3"/>
  <c r="H182" i="3"/>
  <c r="G182" i="3"/>
  <c r="F182" i="3"/>
  <c r="H181" i="3"/>
  <c r="G181" i="3"/>
  <c r="F181" i="3"/>
  <c r="H180" i="3"/>
  <c r="G180" i="3"/>
  <c r="F180" i="3"/>
  <c r="H179" i="3"/>
  <c r="G179" i="3"/>
  <c r="F179" i="3"/>
  <c r="H178" i="3"/>
  <c r="G178" i="3"/>
  <c r="F178" i="3"/>
  <c r="H177" i="3"/>
  <c r="G177" i="3"/>
  <c r="F177" i="3"/>
  <c r="H176" i="3"/>
  <c r="G176" i="3"/>
  <c r="F176" i="3"/>
  <c r="H175" i="3"/>
  <c r="G175" i="3"/>
  <c r="F175" i="3"/>
  <c r="H174" i="3"/>
  <c r="G174" i="3"/>
  <c r="F174" i="3"/>
  <c r="H173" i="3"/>
  <c r="G173" i="3"/>
  <c r="F173" i="3"/>
  <c r="H172" i="3"/>
  <c r="G172" i="3"/>
  <c r="F172" i="3"/>
  <c r="H171" i="3"/>
  <c r="G171" i="3"/>
  <c r="F171" i="3"/>
  <c r="H170" i="3"/>
  <c r="G170" i="3"/>
  <c r="F170" i="3"/>
  <c r="H169" i="3"/>
  <c r="G169" i="3"/>
  <c r="F169" i="3"/>
  <c r="H168" i="3"/>
  <c r="G168" i="3"/>
  <c r="F168" i="3"/>
  <c r="H167" i="3"/>
  <c r="G167" i="3"/>
  <c r="F167" i="3"/>
  <c r="H166" i="3"/>
  <c r="G166" i="3"/>
  <c r="F166" i="3"/>
  <c r="H165" i="3"/>
  <c r="G165" i="3"/>
  <c r="F165" i="3"/>
  <c r="H164" i="3"/>
  <c r="G164" i="3"/>
  <c r="F164" i="3"/>
  <c r="H163" i="3"/>
  <c r="G163" i="3"/>
  <c r="F163" i="3"/>
  <c r="H162" i="3"/>
  <c r="G162" i="3"/>
  <c r="F162" i="3"/>
  <c r="H161" i="3"/>
  <c r="G161" i="3"/>
  <c r="F161" i="3"/>
  <c r="H160" i="3"/>
  <c r="G160" i="3"/>
  <c r="F160" i="3"/>
  <c r="H159" i="3"/>
  <c r="G159" i="3"/>
  <c r="F159" i="3"/>
  <c r="H158" i="3"/>
  <c r="G158" i="3"/>
  <c r="F158" i="3"/>
  <c r="H157" i="3"/>
  <c r="G157" i="3"/>
  <c r="F157" i="3"/>
  <c r="H156" i="3"/>
  <c r="G156" i="3"/>
  <c r="F156" i="3"/>
  <c r="H155" i="3"/>
  <c r="G155" i="3"/>
  <c r="F155" i="3"/>
  <c r="H154" i="3"/>
  <c r="G154" i="3"/>
  <c r="F154" i="3"/>
  <c r="H153" i="3"/>
  <c r="G153" i="3"/>
  <c r="F153" i="3"/>
  <c r="H152" i="3"/>
  <c r="G152" i="3"/>
  <c r="F152" i="3"/>
  <c r="H151" i="3"/>
  <c r="G151" i="3"/>
  <c r="F151" i="3"/>
  <c r="H150" i="3"/>
  <c r="G150" i="3"/>
  <c r="F150" i="3"/>
  <c r="H149" i="3"/>
  <c r="G149" i="3"/>
  <c r="F149" i="3"/>
  <c r="H148" i="3"/>
  <c r="G148" i="3"/>
  <c r="F148" i="3"/>
  <c r="H147" i="3"/>
  <c r="G147" i="3"/>
  <c r="F147" i="3"/>
  <c r="H146" i="3"/>
  <c r="G146" i="3"/>
  <c r="F146" i="3"/>
  <c r="H145" i="3"/>
  <c r="G145" i="3"/>
  <c r="F145" i="3"/>
  <c r="H144" i="3"/>
  <c r="G144" i="3"/>
  <c r="F144" i="3"/>
  <c r="H143" i="3"/>
  <c r="G143" i="3"/>
  <c r="F143" i="3"/>
  <c r="H142" i="3"/>
  <c r="G142" i="3"/>
  <c r="F142" i="3"/>
  <c r="H141" i="3"/>
  <c r="G141" i="3"/>
  <c r="F141" i="3"/>
  <c r="H140" i="3"/>
  <c r="G140" i="3"/>
  <c r="F140" i="3"/>
  <c r="H139" i="3"/>
  <c r="G139" i="3"/>
  <c r="F139" i="3"/>
  <c r="H138" i="3"/>
  <c r="G138" i="3"/>
  <c r="F138" i="3"/>
  <c r="H137" i="3"/>
  <c r="G137" i="3"/>
  <c r="F137" i="3"/>
  <c r="H136" i="3"/>
  <c r="G136" i="3"/>
  <c r="F136" i="3"/>
  <c r="H135" i="3"/>
  <c r="G135" i="3"/>
  <c r="F135" i="3"/>
  <c r="H134" i="3"/>
  <c r="G134" i="3"/>
  <c r="F134" i="3"/>
  <c r="H133" i="3"/>
  <c r="G133" i="3"/>
  <c r="F133" i="3"/>
  <c r="H132" i="3"/>
  <c r="G132" i="3"/>
  <c r="F132" i="3"/>
  <c r="H131" i="3"/>
  <c r="G131" i="3"/>
  <c r="F131" i="3"/>
  <c r="H130" i="3"/>
  <c r="G130" i="3"/>
  <c r="F130" i="3"/>
  <c r="H129" i="3"/>
  <c r="G129" i="3"/>
  <c r="F129" i="3"/>
  <c r="H128" i="3"/>
  <c r="G128" i="3"/>
  <c r="F128" i="3"/>
  <c r="H127" i="3"/>
  <c r="G127" i="3"/>
  <c r="F127" i="3"/>
  <c r="H126" i="3"/>
  <c r="G126" i="3"/>
  <c r="F126" i="3"/>
  <c r="H125" i="3"/>
  <c r="G125" i="3"/>
  <c r="F125" i="3"/>
  <c r="H124" i="3"/>
  <c r="G124" i="3"/>
  <c r="F124" i="3"/>
  <c r="H123" i="3"/>
  <c r="G123" i="3"/>
  <c r="F123" i="3"/>
  <c r="H122" i="3"/>
  <c r="G122" i="3"/>
  <c r="F122" i="3"/>
  <c r="H121" i="3"/>
  <c r="G121" i="3"/>
  <c r="F121" i="3"/>
  <c r="H120" i="3"/>
  <c r="G120" i="3"/>
  <c r="F120" i="3"/>
  <c r="H119" i="3"/>
  <c r="G119" i="3"/>
  <c r="F119" i="3"/>
  <c r="H118" i="3"/>
  <c r="G118" i="3"/>
  <c r="F118" i="3"/>
  <c r="H117" i="3"/>
  <c r="G117" i="3"/>
  <c r="F117" i="3"/>
  <c r="H116" i="3"/>
  <c r="G116" i="3"/>
  <c r="F116" i="3"/>
  <c r="H115" i="3"/>
  <c r="G115" i="3"/>
  <c r="F115" i="3"/>
  <c r="H114" i="3"/>
  <c r="G114" i="3"/>
  <c r="F114" i="3"/>
  <c r="H113" i="3"/>
  <c r="G113" i="3"/>
  <c r="F113" i="3"/>
  <c r="H112" i="3"/>
  <c r="G112" i="3"/>
  <c r="F112" i="3"/>
  <c r="H111" i="3"/>
  <c r="G111" i="3"/>
  <c r="F111" i="3"/>
  <c r="H110" i="3"/>
  <c r="G110" i="3"/>
  <c r="F110" i="3"/>
  <c r="H109" i="3"/>
  <c r="G109" i="3"/>
  <c r="F109" i="3"/>
  <c r="H108" i="3"/>
  <c r="G108" i="3"/>
  <c r="F108" i="3"/>
  <c r="H107" i="3"/>
  <c r="G107" i="3"/>
  <c r="F107" i="3"/>
  <c r="H106" i="3"/>
  <c r="G106" i="3"/>
  <c r="F106" i="3"/>
  <c r="H105" i="3"/>
  <c r="G105" i="3"/>
  <c r="F105" i="3"/>
  <c r="H104" i="3"/>
  <c r="G104" i="3"/>
  <c r="F104" i="3"/>
  <c r="H103" i="3"/>
  <c r="G103" i="3"/>
  <c r="F103" i="3"/>
  <c r="H102" i="3"/>
  <c r="G102" i="3"/>
  <c r="F102" i="3"/>
  <c r="H101" i="3"/>
  <c r="G101" i="3"/>
  <c r="F101" i="3"/>
  <c r="H100" i="3"/>
  <c r="G100" i="3"/>
  <c r="F100" i="3"/>
  <c r="H99" i="3"/>
  <c r="G99" i="3"/>
  <c r="F99" i="3"/>
  <c r="H98" i="3"/>
  <c r="G98" i="3"/>
  <c r="F98" i="3"/>
  <c r="H97" i="3"/>
  <c r="G97" i="3"/>
  <c r="F97" i="3"/>
  <c r="H96" i="3"/>
  <c r="G96" i="3"/>
  <c r="F96" i="3"/>
  <c r="H95" i="3"/>
  <c r="G95" i="3"/>
  <c r="F95" i="3"/>
  <c r="H94" i="3"/>
  <c r="G94" i="3"/>
  <c r="F94" i="3"/>
  <c r="H93" i="3"/>
  <c r="G93" i="3"/>
  <c r="F93" i="3"/>
  <c r="H92" i="3"/>
  <c r="G92" i="3"/>
  <c r="F92" i="3"/>
  <c r="H91" i="3"/>
  <c r="G91" i="3"/>
  <c r="F91" i="3"/>
  <c r="H90" i="3"/>
  <c r="G90" i="3"/>
  <c r="F90" i="3"/>
  <c r="H89" i="3"/>
  <c r="G89" i="3"/>
  <c r="F89" i="3"/>
  <c r="H88" i="3"/>
  <c r="G88" i="3"/>
  <c r="F88" i="3"/>
  <c r="H87" i="3"/>
  <c r="G87" i="3"/>
  <c r="F87" i="3"/>
  <c r="H86" i="3"/>
  <c r="G86" i="3"/>
  <c r="F86" i="3"/>
  <c r="H85" i="3"/>
  <c r="G85" i="3"/>
  <c r="F85" i="3"/>
  <c r="H84" i="3"/>
  <c r="G84" i="3"/>
  <c r="F84" i="3"/>
  <c r="H83" i="3"/>
  <c r="G83" i="3"/>
  <c r="F83" i="3"/>
  <c r="H82" i="3"/>
  <c r="G82" i="3"/>
  <c r="F82" i="3"/>
  <c r="H81" i="3"/>
  <c r="G81" i="3"/>
  <c r="F81" i="3"/>
  <c r="H80" i="3"/>
  <c r="G80" i="3"/>
  <c r="F80" i="3"/>
  <c r="H79" i="3"/>
  <c r="G79" i="3"/>
  <c r="F79" i="3"/>
  <c r="H78" i="3"/>
  <c r="G78" i="3"/>
  <c r="F78" i="3"/>
  <c r="H77" i="3"/>
  <c r="G77" i="3"/>
  <c r="F77" i="3"/>
  <c r="H76" i="3"/>
  <c r="G76" i="3"/>
  <c r="F76" i="3"/>
  <c r="H75" i="3"/>
  <c r="G75" i="3"/>
  <c r="F75" i="3"/>
  <c r="H74" i="3"/>
  <c r="G74" i="3"/>
  <c r="F74" i="3"/>
  <c r="H73" i="3"/>
  <c r="G73" i="3"/>
  <c r="F73" i="3"/>
  <c r="H72" i="3"/>
  <c r="G72" i="3"/>
  <c r="F72" i="3"/>
  <c r="H71" i="3"/>
  <c r="G71" i="3"/>
  <c r="F71" i="3"/>
  <c r="H70" i="3"/>
  <c r="G70" i="3"/>
  <c r="F70" i="3"/>
  <c r="H69" i="3"/>
  <c r="G69" i="3"/>
  <c r="F69" i="3"/>
  <c r="H68" i="3"/>
  <c r="G68" i="3"/>
  <c r="F68" i="3"/>
  <c r="H67" i="3"/>
  <c r="G67" i="3"/>
  <c r="F67" i="3"/>
  <c r="H66" i="3"/>
  <c r="G66" i="3"/>
  <c r="F66" i="3"/>
  <c r="H65" i="3"/>
  <c r="G65" i="3"/>
  <c r="F65" i="3"/>
  <c r="H64" i="3"/>
  <c r="G64" i="3"/>
  <c r="F64" i="3"/>
  <c r="H63" i="3"/>
  <c r="G63" i="3"/>
  <c r="F63" i="3"/>
  <c r="H62" i="3"/>
  <c r="G62" i="3"/>
  <c r="F62" i="3"/>
  <c r="H61" i="3"/>
  <c r="G61" i="3"/>
  <c r="F61" i="3"/>
  <c r="H60" i="3"/>
  <c r="G60" i="3"/>
  <c r="F60" i="3"/>
  <c r="H59" i="3"/>
  <c r="G59" i="3"/>
  <c r="F59" i="3"/>
  <c r="H58" i="3"/>
  <c r="G58" i="3"/>
  <c r="F58" i="3"/>
  <c r="H57" i="3"/>
  <c r="G57" i="3"/>
  <c r="F57" i="3"/>
  <c r="H56" i="3"/>
  <c r="G56" i="3"/>
  <c r="F56" i="3"/>
  <c r="H55" i="3"/>
  <c r="G55" i="3"/>
  <c r="F55" i="3"/>
  <c r="H54" i="3"/>
  <c r="G54" i="3"/>
  <c r="F54" i="3"/>
  <c r="H53" i="3"/>
  <c r="G53" i="3"/>
  <c r="F53" i="3"/>
  <c r="H52" i="3"/>
  <c r="G52" i="3"/>
  <c r="F52" i="3"/>
  <c r="H51" i="3"/>
  <c r="G51" i="3"/>
  <c r="F51" i="3"/>
  <c r="H50" i="3"/>
  <c r="G50" i="3"/>
  <c r="F50" i="3"/>
  <c r="H49" i="3"/>
  <c r="G49" i="3"/>
  <c r="F49" i="3"/>
  <c r="H48" i="3"/>
  <c r="G48" i="3"/>
  <c r="F48" i="3"/>
  <c r="H47" i="3"/>
  <c r="G47" i="3"/>
  <c r="F47" i="3"/>
  <c r="H46" i="3"/>
  <c r="G46" i="3"/>
  <c r="F46" i="3"/>
  <c r="H45" i="3"/>
  <c r="G45" i="3"/>
  <c r="F45" i="3"/>
  <c r="H44" i="3"/>
  <c r="G44" i="3"/>
  <c r="F44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734FA-81BE-498D-8757-D8E13C73D468}" keepAlive="1" name="Query - tile_store_orders" description="Connection to the 'tile_store_orders' query in the workbook." type="5" refreshedVersion="8" background="1" saveData="1">
    <dbPr connection="Provider=Microsoft.Mashup.OleDb.1;Data Source=$Workbook$;Location=tile_store_orders;Extended Properties=&quot;&quot;" command="SELECT * FROM [tile_store_ord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<sst xmlns="http://schemas.openxmlformats.org/spreadsheetml/2006/main" count="3532" uniqueCount="1280">
  <si>
    <t>order_id</t>
  </si>
  <si>
    <t>customer_id</t>
  </si>
  <si>
    <t>order_date</t>
  </si>
  <si>
    <t>product_type</t>
  </si>
  <si>
    <t>order_value</t>
  </si>
  <si>
    <t>ORDER00001</t>
  </si>
  <si>
    <t>CUST0225</t>
  </si>
  <si>
    <t>Glass Tile</t>
  </si>
  <si>
    <t>ORDER00002</t>
  </si>
  <si>
    <t>CUST0224</t>
  </si>
  <si>
    <t>Vinyl Tile</t>
  </si>
  <si>
    <t>ORDER00003</t>
  </si>
  <si>
    <t>CUST0209</t>
  </si>
  <si>
    <t>Marble Tile</t>
  </si>
  <si>
    <t>ORDER00004</t>
  </si>
  <si>
    <t>CUST0138</t>
  </si>
  <si>
    <t>Porcelain Tile</t>
  </si>
  <si>
    <t>ORDER00005</t>
  </si>
  <si>
    <t>CUST0106</t>
  </si>
  <si>
    <t>ORDER00006</t>
  </si>
  <si>
    <t>CUST0150</t>
  </si>
  <si>
    <t>ORDER00007</t>
  </si>
  <si>
    <t>CUST0234</t>
  </si>
  <si>
    <t>ORDER00008</t>
  </si>
  <si>
    <t>CUST0223</t>
  </si>
  <si>
    <t>ORDER00009</t>
  </si>
  <si>
    <t>CUST0204</t>
  </si>
  <si>
    <t>Mosaic Tile</t>
  </si>
  <si>
    <t>ORDER00010</t>
  </si>
  <si>
    <t>CUST0036</t>
  </si>
  <si>
    <t>ORDER00011</t>
  </si>
  <si>
    <t>CUST0034</t>
  </si>
  <si>
    <t>ORDER00012</t>
  </si>
  <si>
    <t>CUST0097</t>
  </si>
  <si>
    <t>Ceramic Tile</t>
  </si>
  <si>
    <t>ORDER00013</t>
  </si>
  <si>
    <t>CUST0066</t>
  </si>
  <si>
    <t>ORDER00014</t>
  </si>
  <si>
    <t>CUST0049</t>
  </si>
  <si>
    <t>ORDER00015</t>
  </si>
  <si>
    <t>CUST0170</t>
  </si>
  <si>
    <t>ORDER00016</t>
  </si>
  <si>
    <t>CUST0179</t>
  </si>
  <si>
    <t>ORDER00017</t>
  </si>
  <si>
    <t>CUST0050</t>
  </si>
  <si>
    <t>ORDER00018</t>
  </si>
  <si>
    <t>CUST0090</t>
  </si>
  <si>
    <t>ORDER00019</t>
  </si>
  <si>
    <t>CUST0116</t>
  </si>
  <si>
    <t>ORDER00020</t>
  </si>
  <si>
    <t>CUST0010</t>
  </si>
  <si>
    <t>ORDER00021</t>
  </si>
  <si>
    <t>CUST0164</t>
  </si>
  <si>
    <t>ORDER00022</t>
  </si>
  <si>
    <t>CUST0136</t>
  </si>
  <si>
    <t>ORDER00023</t>
  </si>
  <si>
    <t>CUST0216</t>
  </si>
  <si>
    <t>ORDER00024</t>
  </si>
  <si>
    <t>CUST0023</t>
  </si>
  <si>
    <t>ORDER00025</t>
  </si>
  <si>
    <t>CUST0091</t>
  </si>
  <si>
    <t>ORDER00026</t>
  </si>
  <si>
    <t>CUST0037</t>
  </si>
  <si>
    <t>Granite Tile</t>
  </si>
  <si>
    <t>ORDER00027</t>
  </si>
  <si>
    <t>CUST0181</t>
  </si>
  <si>
    <t>ORDER00028</t>
  </si>
  <si>
    <t>CUST0210</t>
  </si>
  <si>
    <t>Terracotta Tile</t>
  </si>
  <si>
    <t>ORDER00029</t>
  </si>
  <si>
    <t>CUST0006</t>
  </si>
  <si>
    <t>ORDER00030</t>
  </si>
  <si>
    <t>CUST0214</t>
  </si>
  <si>
    <t>ORDER00031</t>
  </si>
  <si>
    <t>CUST0222</t>
  </si>
  <si>
    <t>ORDER00032</t>
  </si>
  <si>
    <t>CUST0112</t>
  </si>
  <si>
    <t>ORDER00033</t>
  </si>
  <si>
    <t>CUST0207</t>
  </si>
  <si>
    <t>ORDER00034</t>
  </si>
  <si>
    <t>CUST0062</t>
  </si>
  <si>
    <t>ORDER00035</t>
  </si>
  <si>
    <t>ORDER00036</t>
  </si>
  <si>
    <t>CUST0231</t>
  </si>
  <si>
    <t>ORDER00037</t>
  </si>
  <si>
    <t>CUST0236</t>
  </si>
  <si>
    <t>ORDER00038</t>
  </si>
  <si>
    <t>CUST0144</t>
  </si>
  <si>
    <t>ORDER00039</t>
  </si>
  <si>
    <t>ORDER00040</t>
  </si>
  <si>
    <t>CUST0246</t>
  </si>
  <si>
    <t>ORDER00041</t>
  </si>
  <si>
    <t>CUST0249</t>
  </si>
  <si>
    <t>ORDER00042</t>
  </si>
  <si>
    <t>CUST0146</t>
  </si>
  <si>
    <t>ORDER00043</t>
  </si>
  <si>
    <t>CUST0080</t>
  </si>
  <si>
    <t>ORDER00044</t>
  </si>
  <si>
    <t>CUST0243</t>
  </si>
  <si>
    <t>ORDER00045</t>
  </si>
  <si>
    <t>CUST0227</t>
  </si>
  <si>
    <t>ORDER00046</t>
  </si>
  <si>
    <t>CUST0121</t>
  </si>
  <si>
    <t>ORDER00047</t>
  </si>
  <si>
    <t>CUST0011</t>
  </si>
  <si>
    <t>ORDER00048</t>
  </si>
  <si>
    <t>CUST0145</t>
  </si>
  <si>
    <t>ORDER00049</t>
  </si>
  <si>
    <t>CUST0002</t>
  </si>
  <si>
    <t>ORDER00050</t>
  </si>
  <si>
    <t>CUST0119</t>
  </si>
  <si>
    <t>ORDER00051</t>
  </si>
  <si>
    <t>CUST0250</t>
  </si>
  <si>
    <t>ORDER00052</t>
  </si>
  <si>
    <t>CUST0173</t>
  </si>
  <si>
    <t>ORDER00053</t>
  </si>
  <si>
    <t>CUST0100</t>
  </si>
  <si>
    <t>ORDER00054</t>
  </si>
  <si>
    <t>CUST0070</t>
  </si>
  <si>
    <t>ORDER00055</t>
  </si>
  <si>
    <t>CUST0226</t>
  </si>
  <si>
    <t>ORDER00056</t>
  </si>
  <si>
    <t>CUST0048</t>
  </si>
  <si>
    <t>ORDER00057</t>
  </si>
  <si>
    <t>CUST0242</t>
  </si>
  <si>
    <t>ORDER00058</t>
  </si>
  <si>
    <t>ORDER00059</t>
  </si>
  <si>
    <t>CUST0129</t>
  </si>
  <si>
    <t>ORDER00060</t>
  </si>
  <si>
    <t>CUST0122</t>
  </si>
  <si>
    <t>ORDER00061</t>
  </si>
  <si>
    <t>CUST0007</t>
  </si>
  <si>
    <t>ORDER00062</t>
  </si>
  <si>
    <t>CUST0237</t>
  </si>
  <si>
    <t>ORDER00063</t>
  </si>
  <si>
    <t>CUST0102</t>
  </si>
  <si>
    <t>ORDER00064</t>
  </si>
  <si>
    <t>CUST0168</t>
  </si>
  <si>
    <t>ORDER00065</t>
  </si>
  <si>
    <t>ORDER00066</t>
  </si>
  <si>
    <t>CUST0079</t>
  </si>
  <si>
    <t>ORDER00067</t>
  </si>
  <si>
    <t>CUST0075</t>
  </si>
  <si>
    <t>ORDER00068</t>
  </si>
  <si>
    <t>CUST0081</t>
  </si>
  <si>
    <t>ORDER00069</t>
  </si>
  <si>
    <t>CUST0219</t>
  </si>
  <si>
    <t>ORDER00070</t>
  </si>
  <si>
    <t>CUST0154</t>
  </si>
  <si>
    <t>ORDER00071</t>
  </si>
  <si>
    <t>CUST0193</t>
  </si>
  <si>
    <t>ORDER00072</t>
  </si>
  <si>
    <t>CUST0240</t>
  </si>
  <si>
    <t>ORDER00073</t>
  </si>
  <si>
    <t>CUST0123</t>
  </si>
  <si>
    <t>ORDER00074</t>
  </si>
  <si>
    <t>CUST0041</t>
  </si>
  <si>
    <t>ORDER00075</t>
  </si>
  <si>
    <t>CUST0149</t>
  </si>
  <si>
    <t>ORDER00076</t>
  </si>
  <si>
    <t>ORDER00077</t>
  </si>
  <si>
    <t>ORDER00078</t>
  </si>
  <si>
    <t>CUST0190</t>
  </si>
  <si>
    <t>ORDER00079</t>
  </si>
  <si>
    <t>CUST0004</t>
  </si>
  <si>
    <t>ORDER00080</t>
  </si>
  <si>
    <t>CUST0178</t>
  </si>
  <si>
    <t>ORDER00081</t>
  </si>
  <si>
    <t>CUST0096</t>
  </si>
  <si>
    <t>ORDER00082</t>
  </si>
  <si>
    <t>CUST0067</t>
  </si>
  <si>
    <t>ORDER00083</t>
  </si>
  <si>
    <t>CUST0045</t>
  </si>
  <si>
    <t>ORDER00084</t>
  </si>
  <si>
    <t>CUST0008</t>
  </si>
  <si>
    <t>ORDER00085</t>
  </si>
  <si>
    <t>CUST0099</t>
  </si>
  <si>
    <t>ORDER00086</t>
  </si>
  <si>
    <t>CUST0185</t>
  </si>
  <si>
    <t>ORDER00087</t>
  </si>
  <si>
    <t>ORDER00088</t>
  </si>
  <si>
    <t>CUST0009</t>
  </si>
  <si>
    <t>ORDER00089</t>
  </si>
  <si>
    <t>ORDER00090</t>
  </si>
  <si>
    <t>ORDER00091</t>
  </si>
  <si>
    <t>CUST0201</t>
  </si>
  <si>
    <t>ORDER00092</t>
  </si>
  <si>
    <t>CUST0093</t>
  </si>
  <si>
    <t>ORDER00093</t>
  </si>
  <si>
    <t>CUST0206</t>
  </si>
  <si>
    <t>ORDER00094</t>
  </si>
  <si>
    <t>CUST0029</t>
  </si>
  <si>
    <t>ORDER00095</t>
  </si>
  <si>
    <t>CUST0077</t>
  </si>
  <si>
    <t>ORDER00096</t>
  </si>
  <si>
    <t>ORDER00097</t>
  </si>
  <si>
    <t>CUST0052</t>
  </si>
  <si>
    <t>ORDER00098</t>
  </si>
  <si>
    <t>CUST0217</t>
  </si>
  <si>
    <t>ORDER00099</t>
  </si>
  <si>
    <t>ORDER00100</t>
  </si>
  <si>
    <t>CUST0109</t>
  </si>
  <si>
    <t>ORDER00101</t>
  </si>
  <si>
    <t>CUST0208</t>
  </si>
  <si>
    <t>ORDER00102</t>
  </si>
  <si>
    <t>CUST0199</t>
  </si>
  <si>
    <t>ORDER00103</t>
  </si>
  <si>
    <t>CUST0183</t>
  </si>
  <si>
    <t>ORDER00104</t>
  </si>
  <si>
    <t>CUST0028</t>
  </si>
  <si>
    <t>ORDER00105</t>
  </si>
  <si>
    <t>ORDER00106</t>
  </si>
  <si>
    <t>ORDER00107</t>
  </si>
  <si>
    <t>ORDER00108</t>
  </si>
  <si>
    <t>CUST0245</t>
  </si>
  <si>
    <t>ORDER00109</t>
  </si>
  <si>
    <t>CUST0166</t>
  </si>
  <si>
    <t>ORDER00110</t>
  </si>
  <si>
    <t>CUST0111</t>
  </si>
  <si>
    <t>ORDER00111</t>
  </si>
  <si>
    <t>ORDER00112</t>
  </si>
  <si>
    <t>ORDER00113</t>
  </si>
  <si>
    <t>ORDER00114</t>
  </si>
  <si>
    <t>ORDER00115</t>
  </si>
  <si>
    <t>CUST0016</t>
  </si>
  <si>
    <t>ORDER00116</t>
  </si>
  <si>
    <t>CUST0233</t>
  </si>
  <si>
    <t>ORDER00117</t>
  </si>
  <si>
    <t>ORDER00118</t>
  </si>
  <si>
    <t>ORDER00119</t>
  </si>
  <si>
    <t>ORDER00120</t>
  </si>
  <si>
    <t>CUST0184</t>
  </si>
  <si>
    <t>ORDER00121</t>
  </si>
  <si>
    <t>CUST0132</t>
  </si>
  <si>
    <t>ORDER00122</t>
  </si>
  <si>
    <t>CUST0086</t>
  </si>
  <si>
    <t>ORDER00123</t>
  </si>
  <si>
    <t>ORDER00124</t>
  </si>
  <si>
    <t>CUST0073</t>
  </si>
  <si>
    <t>ORDER00125</t>
  </si>
  <si>
    <t>CUST0003</t>
  </si>
  <si>
    <t>ORDER00126</t>
  </si>
  <si>
    <t>CUST0171</t>
  </si>
  <si>
    <t>ORDER00127</t>
  </si>
  <si>
    <t>CUST0230</t>
  </si>
  <si>
    <t>ORDER00128</t>
  </si>
  <si>
    <t>ORDER00129</t>
  </si>
  <si>
    <t>ORDER00130</t>
  </si>
  <si>
    <t>CUST0063</t>
  </si>
  <si>
    <t>ORDER00131</t>
  </si>
  <si>
    <t>ORDER00132</t>
  </si>
  <si>
    <t>CUST0194</t>
  </si>
  <si>
    <t>ORDER00133</t>
  </si>
  <si>
    <t>CUST0053</t>
  </si>
  <si>
    <t>ORDER00134</t>
  </si>
  <si>
    <t>CUST0087</t>
  </si>
  <si>
    <t>ORDER00135</t>
  </si>
  <si>
    <t>ORDER00136</t>
  </si>
  <si>
    <t>CUST0161</t>
  </si>
  <si>
    <t>ORDER00137</t>
  </si>
  <si>
    <t>CUST0071</t>
  </si>
  <si>
    <t>ORDER00138</t>
  </si>
  <si>
    <t>CUST0232</t>
  </si>
  <si>
    <t>ORDER00139</t>
  </si>
  <si>
    <t>ORDER00140</t>
  </si>
  <si>
    <t>ORDER00141</t>
  </si>
  <si>
    <t>CUST0142</t>
  </si>
  <si>
    <t>ORDER00142</t>
  </si>
  <si>
    <t>CUST0196</t>
  </si>
  <si>
    <t>ORDER00143</t>
  </si>
  <si>
    <t>CUST0018</t>
  </si>
  <si>
    <t>ORDER00144</t>
  </si>
  <si>
    <t>CUST0098</t>
  </si>
  <si>
    <t>ORDER00145</t>
  </si>
  <si>
    <t>ORDER00146</t>
  </si>
  <si>
    <t>CUST0113</t>
  </si>
  <si>
    <t>ORDER00147</t>
  </si>
  <si>
    <t>CUST0175</t>
  </si>
  <si>
    <t>ORDER00148</t>
  </si>
  <si>
    <t>ORDER00149</t>
  </si>
  <si>
    <t>CUST0017</t>
  </si>
  <si>
    <t>ORDER00150</t>
  </si>
  <si>
    <t>CUST0032</t>
  </si>
  <si>
    <t>ORDER00151</t>
  </si>
  <si>
    <t>CUST0072</t>
  </si>
  <si>
    <t>ORDER00152</t>
  </si>
  <si>
    <t>CUST0202</t>
  </si>
  <si>
    <t>ORDER00153</t>
  </si>
  <si>
    <t>ORDER00154</t>
  </si>
  <si>
    <t>ORDER00155</t>
  </si>
  <si>
    <t>ORDER00156</t>
  </si>
  <si>
    <t>CUST0218</t>
  </si>
  <si>
    <t>ORDER00157</t>
  </si>
  <si>
    <t>CUST0047</t>
  </si>
  <si>
    <t>ORDER00158</t>
  </si>
  <si>
    <t>ORDER00159</t>
  </si>
  <si>
    <t>ORDER00160</t>
  </si>
  <si>
    <t>ORDER00161</t>
  </si>
  <si>
    <t>ORDER00162</t>
  </si>
  <si>
    <t>CUST0068</t>
  </si>
  <si>
    <t>ORDER00163</t>
  </si>
  <si>
    <t>ORDER00164</t>
  </si>
  <si>
    <t>ORDER00165</t>
  </si>
  <si>
    <t>CUST0238</t>
  </si>
  <si>
    <t>ORDER00166</t>
  </si>
  <si>
    <t>ORDER00167</t>
  </si>
  <si>
    <t>CUST0039</t>
  </si>
  <si>
    <t>ORDER00168</t>
  </si>
  <si>
    <t>ORDER00169</t>
  </si>
  <si>
    <t>CUST0153</t>
  </si>
  <si>
    <t>ORDER00170</t>
  </si>
  <si>
    <t>ORDER00171</t>
  </si>
  <si>
    <t>ORDER00172</t>
  </si>
  <si>
    <t>CUST0043</t>
  </si>
  <si>
    <t>ORDER00173</t>
  </si>
  <si>
    <t>ORDER00174</t>
  </si>
  <si>
    <t>ORDER00175</t>
  </si>
  <si>
    <t>ORDER00176</t>
  </si>
  <si>
    <t>ORDER00177</t>
  </si>
  <si>
    <t>CUST0182</t>
  </si>
  <si>
    <t>ORDER00178</t>
  </si>
  <si>
    <t>CUST0211</t>
  </si>
  <si>
    <t>ORDER00179</t>
  </si>
  <si>
    <t>ORDER00180</t>
  </si>
  <si>
    <t>CUST0044</t>
  </si>
  <si>
    <t>ORDER00181</t>
  </si>
  <si>
    <t>CUST0157</t>
  </si>
  <si>
    <t>ORDER00182</t>
  </si>
  <si>
    <t>ORDER00183</t>
  </si>
  <si>
    <t>CUST0172</t>
  </si>
  <si>
    <t>ORDER00184</t>
  </si>
  <si>
    <t>ORDER00185</t>
  </si>
  <si>
    <t>ORDER00186</t>
  </si>
  <si>
    <t>ORDER00187</t>
  </si>
  <si>
    <t>ORDER00188</t>
  </si>
  <si>
    <t>ORDER00189</t>
  </si>
  <si>
    <t>ORDER00190</t>
  </si>
  <si>
    <t>CUST0205</t>
  </si>
  <si>
    <t>ORDER00191</t>
  </si>
  <si>
    <t>CUST0103</t>
  </si>
  <si>
    <t>ORDER00192</t>
  </si>
  <si>
    <t>ORDER00193</t>
  </si>
  <si>
    <t>CUST0078</t>
  </si>
  <si>
    <t>ORDER00194</t>
  </si>
  <si>
    <t>ORDER00195</t>
  </si>
  <si>
    <t>CUST0027</t>
  </si>
  <si>
    <t>ORDER00196</t>
  </si>
  <si>
    <t>CUST0056</t>
  </si>
  <si>
    <t>ORDER00197</t>
  </si>
  <si>
    <t>ORDER00198</t>
  </si>
  <si>
    <t>CUST0241</t>
  </si>
  <si>
    <t>ORDER00199</t>
  </si>
  <si>
    <t>ORDER00200</t>
  </si>
  <si>
    <t>ORDER00201</t>
  </si>
  <si>
    <t>ORDER00202</t>
  </si>
  <si>
    <t>ORDER00203</t>
  </si>
  <si>
    <t>ORDER00204</t>
  </si>
  <si>
    <t>CUST0001</t>
  </si>
  <si>
    <t>ORDER00205</t>
  </si>
  <si>
    <t>ORDER00206</t>
  </si>
  <si>
    <t>CUST0197</t>
  </si>
  <si>
    <t>ORDER00207</t>
  </si>
  <si>
    <t>CUST0180</t>
  </si>
  <si>
    <t>ORDER00208</t>
  </si>
  <si>
    <t>CUST0167</t>
  </si>
  <si>
    <t>ORDER00209</t>
  </si>
  <si>
    <t>CUST0174</t>
  </si>
  <si>
    <t>ORDER00210</t>
  </si>
  <si>
    <t>ORDER00211</t>
  </si>
  <si>
    <t>ORDER00212</t>
  </si>
  <si>
    <t>ORDER00213</t>
  </si>
  <si>
    <t>CUST0014</t>
  </si>
  <si>
    <t>ORDER00214</t>
  </si>
  <si>
    <t>ORDER00215</t>
  </si>
  <si>
    <t>ORDER00216</t>
  </si>
  <si>
    <t>CUST0057</t>
  </si>
  <si>
    <t>ORDER00217</t>
  </si>
  <si>
    <t>CUST0065</t>
  </si>
  <si>
    <t>ORDER00218</t>
  </si>
  <si>
    <t>ORDER00219</t>
  </si>
  <si>
    <t>CUST0135</t>
  </si>
  <si>
    <t>ORDER00220</t>
  </si>
  <si>
    <t>CUST0115</t>
  </si>
  <si>
    <t>ORDER00221</t>
  </si>
  <si>
    <t>ORDER00222</t>
  </si>
  <si>
    <t>CUST0141</t>
  </si>
  <si>
    <t>ORDER00223</t>
  </si>
  <si>
    <t>CUST0013</t>
  </si>
  <si>
    <t>ORDER00224</t>
  </si>
  <si>
    <t>ORDER00225</t>
  </si>
  <si>
    <t>ORDER00226</t>
  </si>
  <si>
    <t>ORDER00227</t>
  </si>
  <si>
    <t>CUST0221</t>
  </si>
  <si>
    <t>ORDER00228</t>
  </si>
  <si>
    <t>ORDER00229</t>
  </si>
  <si>
    <t>CUST0082</t>
  </si>
  <si>
    <t>ORDER00230</t>
  </si>
  <si>
    <t>ORDER00231</t>
  </si>
  <si>
    <t>CUST0156</t>
  </si>
  <si>
    <t>ORDER00232</t>
  </si>
  <si>
    <t>ORDER00233</t>
  </si>
  <si>
    <t>ORDER00234</t>
  </si>
  <si>
    <t>ORDER00235</t>
  </si>
  <si>
    <t>ORDER00236</t>
  </si>
  <si>
    <t>CUST0152</t>
  </si>
  <si>
    <t>ORDER00237</t>
  </si>
  <si>
    <t>ORDER00238</t>
  </si>
  <si>
    <t>CUST0064</t>
  </si>
  <si>
    <t>ORDER00239</t>
  </si>
  <si>
    <t>ORDER00240</t>
  </si>
  <si>
    <t>ORDER00241</t>
  </si>
  <si>
    <t>ORDER00242</t>
  </si>
  <si>
    <t>ORDER00243</t>
  </si>
  <si>
    <t>ORDER00244</t>
  </si>
  <si>
    <t>ORDER00245</t>
  </si>
  <si>
    <t>ORDER00246</t>
  </si>
  <si>
    <t>CUST0026</t>
  </si>
  <si>
    <t>ORDER00247</t>
  </si>
  <si>
    <t>ORDER00248</t>
  </si>
  <si>
    <t>ORDER00249</t>
  </si>
  <si>
    <t>ORDER00250</t>
  </si>
  <si>
    <t>ORDER00251</t>
  </si>
  <si>
    <t>ORDER00252</t>
  </si>
  <si>
    <t>ORDER00253</t>
  </si>
  <si>
    <t>ORDER00254</t>
  </si>
  <si>
    <t>CUST0215</t>
  </si>
  <si>
    <t>ORDER00255</t>
  </si>
  <si>
    <t>ORDER00256</t>
  </si>
  <si>
    <t>ORDER00257</t>
  </si>
  <si>
    <t>ORDER00258</t>
  </si>
  <si>
    <t>CUST0042</t>
  </si>
  <si>
    <t>ORDER00259</t>
  </si>
  <si>
    <t>CUST0200</t>
  </si>
  <si>
    <t>ORDER00260</t>
  </si>
  <si>
    <t>CUST0229</t>
  </si>
  <si>
    <t>ORDER00261</t>
  </si>
  <si>
    <t>ORDER00262</t>
  </si>
  <si>
    <t>CUST0159</t>
  </si>
  <si>
    <t>ORDER00263</t>
  </si>
  <si>
    <t>ORDER00264</t>
  </si>
  <si>
    <t>ORDER00265</t>
  </si>
  <si>
    <t>ORDER00266</t>
  </si>
  <si>
    <t>ORDER00267</t>
  </si>
  <si>
    <t>CUST0038</t>
  </si>
  <si>
    <t>ORDER00268</t>
  </si>
  <si>
    <t>ORDER00269</t>
  </si>
  <si>
    <t>CUST0125</t>
  </si>
  <si>
    <t>ORDER00270</t>
  </si>
  <si>
    <t>ORDER00271</t>
  </si>
  <si>
    <t>ORDER00272</t>
  </si>
  <si>
    <t>ORDER00273</t>
  </si>
  <si>
    <t>ORDER00274</t>
  </si>
  <si>
    <t>ORDER00275</t>
  </si>
  <si>
    <t>ORDER00276</t>
  </si>
  <si>
    <t>ORDER00277</t>
  </si>
  <si>
    <t>CUST0124</t>
  </si>
  <si>
    <t>ORDER00278</t>
  </si>
  <si>
    <t>ORDER00279</t>
  </si>
  <si>
    <t>CUST0133</t>
  </si>
  <si>
    <t>ORDER00280</t>
  </si>
  <si>
    <t>ORDER00281</t>
  </si>
  <si>
    <t>ORDER00282</t>
  </si>
  <si>
    <t>CUST0055</t>
  </si>
  <si>
    <t>ORDER00283</t>
  </si>
  <si>
    <t>CUST0191</t>
  </si>
  <si>
    <t>ORDER00284</t>
  </si>
  <si>
    <t>ORDER00285</t>
  </si>
  <si>
    <t>CUST0127</t>
  </si>
  <si>
    <t>ORDER00286</t>
  </si>
  <si>
    <t>CUST0108</t>
  </si>
  <si>
    <t>ORDER00287</t>
  </si>
  <si>
    <t>ORDER00288</t>
  </si>
  <si>
    <t>CUST0248</t>
  </si>
  <si>
    <t>ORDER00289</t>
  </si>
  <si>
    <t>ORDER00290</t>
  </si>
  <si>
    <t>ORDER00291</t>
  </si>
  <si>
    <t>ORDER00292</t>
  </si>
  <si>
    <t>ORDER00293</t>
  </si>
  <si>
    <t>CUST0031</t>
  </si>
  <si>
    <t>ORDER00294</t>
  </si>
  <si>
    <t>ORDER00295</t>
  </si>
  <si>
    <t>ORDER00296</t>
  </si>
  <si>
    <t>ORDER00297</t>
  </si>
  <si>
    <t>CUST0148</t>
  </si>
  <si>
    <t>ORDER00298</t>
  </si>
  <si>
    <t>ORDER00299</t>
  </si>
  <si>
    <t>CUST0195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</si>
  <si>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</si>
  <si>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</si>
  <si>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</si>
  <si>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</si>
  <si>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</si>
  <si>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</si>
  <si>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</si>
  <si>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CUST0030</t>
  </si>
  <si>
    <t>ORDER00307</t>
  </si>
  <si>
    <t>ORDER00308</t>
  </si>
  <si>
    <t>ORDER00309</t>
  </si>
  <si>
    <t>ORDER00310</t>
  </si>
  <si>
    <t>ORDER00311</t>
  </si>
  <si>
    <t>CUST0058</t>
  </si>
  <si>
    <t>ORDER00312</t>
  </si>
  <si>
    <t>ORDER00313</t>
  </si>
  <si>
    <t>CUST0128</t>
  </si>
  <si>
    <t>ORDER00314</t>
  </si>
  <si>
    <t>CUST0176</t>
  </si>
  <si>
    <t>ORDER00315</t>
  </si>
  <si>
    <t>ORDER00316</t>
  </si>
  <si>
    <t>ORDER00317</t>
  </si>
  <si>
    <t>ORDER00318</t>
  </si>
  <si>
    <t>ORDER00319</t>
  </si>
  <si>
    <t>CUST0046</t>
  </si>
  <si>
    <t>ORDER00320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</si>
  <si>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</si>
  <si>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</si>
  <si>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</si>
  <si>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</si>
  <si>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</si>
  <si>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</si>
  <si>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</si>
  <si>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</si>
  <si>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ORDER00329</t>
  </si>
  <si>
    <t>ORDER00330</t>
  </si>
  <si>
    <t>ORDER00331</t>
  </si>
  <si>
    <t>ORDER00332</t>
  </si>
  <si>
    <t>ORDER00333</t>
  </si>
  <si>
    <t>ORDER00334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</si>
  <si>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</si>
  <si>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</si>
  <si>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</si>
  <si>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</si>
  <si>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</si>
  <si>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</si>
  <si>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</si>
  <si>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</si>
  <si>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ORDER00343</t>
  </si>
  <si>
    <t>ORDER00344</t>
  </si>
  <si>
    <t>CUST0088</t>
  </si>
  <si>
    <t>ORDER00345</t>
  </si>
  <si>
    <t>ORDER00346</t>
  </si>
  <si>
    <t>ORDER00347</t>
  </si>
  <si>
    <t>ORDER00348</t>
  </si>
  <si>
    <t>CUST0035</t>
  </si>
  <si>
    <t>ORDER00349</t>
  </si>
  <si>
    <t>ORDER00350</t>
  </si>
  <si>
    <t>ORDER00351</t>
  </si>
  <si>
    <t>ORDER00352</t>
  </si>
  <si>
    <t>CUST0110</t>
  </si>
  <si>
    <t>ORDER00353</t>
  </si>
  <si>
    <t>ORDER00354</t>
  </si>
  <si>
    <t>CUST0143</t>
  </si>
  <si>
    <t>ORDER00355</t>
  </si>
  <si>
    <t>ORDER00356</t>
  </si>
  <si>
    <t>CUST0051</t>
  </si>
  <si>
    <t>ORDER00357</t>
  </si>
  <si>
    <t>ORDER00358</t>
  </si>
  <si>
    <t>CUST0203</t>
  </si>
  <si>
    <t>ORDER00359</t>
  </si>
  <si>
    <t>ORDER00360</t>
  </si>
  <si>
    <t>CUST0105</t>
  </si>
  <si>
    <t>ORDER00361</t>
  </si>
  <si>
    <t>CUST0147</t>
  </si>
  <si>
    <t>ORDER00362</t>
  </si>
  <si>
    <t>ORDER00363</t>
  </si>
  <si>
    <t>CUST0015</t>
  </si>
  <si>
    <t>ORDER00364</t>
  </si>
  <si>
    <t>CUST0131</t>
  </si>
  <si>
    <t>ORDER00365</t>
  </si>
  <si>
    <t>ORDER00366</t>
  </si>
  <si>
    <t>ORDER00367</t>
  </si>
  <si>
    <t>ORDER00368</t>
  </si>
  <si>
    <t>CUST0021</t>
  </si>
  <si>
    <t>ORDER00369</t>
  </si>
  <si>
    <t>ORDER00370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</si>
  <si>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</si>
  <si>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</si>
  <si>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</si>
  <si>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</si>
  <si>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</si>
  <si>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</si>
  <si>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</si>
  <si>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</si>
  <si>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ORDER00379</t>
  </si>
  <si>
    <t>ORDER00380</t>
  </si>
  <si>
    <t>ORDER00381</t>
  </si>
  <si>
    <t>ORDER00382</t>
  </si>
  <si>
    <t>ORDER00383</t>
  </si>
  <si>
    <t>CUST0162</t>
  </si>
  <si>
    <t>ORDER00384</t>
  </si>
  <si>
    <t>ORDER00385</t>
  </si>
  <si>
    <t>ORDER00386</t>
  </si>
  <si>
    <t>ORDER00387</t>
  </si>
  <si>
    <t>ORDER00388</t>
  </si>
  <si>
    <t>CUST0165</t>
  </si>
  <si>
    <t>ORDER00389</t>
  </si>
  <si>
    <t>ORDER00390</t>
  </si>
  <si>
    <t>CUST0189</t>
  </si>
  <si>
    <t>ORDER00391</t>
  </si>
  <si>
    <t>ORDER00392</t>
  </si>
  <si>
    <t>CUST0089</t>
  </si>
  <si>
    <t>ORDER00393</t>
  </si>
  <si>
    <t>ORDER00394</t>
  </si>
  <si>
    <t>ORDER00395</t>
  </si>
  <si>
    <t>ORDER00396</t>
  </si>
  <si>
    <t>ORDER00397</t>
  </si>
  <si>
    <t>ORDER00398</t>
  </si>
  <si>
    <t>ORDER00399</t>
  </si>
  <si>
    <t>CUST0059</t>
  </si>
  <si>
    <t>ORDER00400</t>
  </si>
  <si>
    <t>ORDER00401</t>
  </si>
  <si>
    <t>ORDER00402</t>
  </si>
  <si>
    <t>CUST0198</t>
  </si>
  <si>
    <t>ORDER00403</t>
  </si>
  <si>
    <t>ORDER00404</t>
  </si>
  <si>
    <t>CUST0107</t>
  </si>
  <si>
    <t>ORDER00405</t>
  </si>
  <si>
    <t>ORDER00406</t>
  </si>
  <si>
    <t>ORDER00407</t>
  </si>
  <si>
    <t>ORDER00408</t>
  </si>
  <si>
    <t>CUST0069</t>
  </si>
  <si>
    <t>ORDER00409</t>
  </si>
  <si>
    <t>ORDER00410</t>
  </si>
  <si>
    <t>ORDER00411</t>
  </si>
  <si>
    <t>ORDER00412</t>
  </si>
  <si>
    <t>ORDER00413</t>
  </si>
  <si>
    <t>ORDER00414</t>
  </si>
  <si>
    <t>ORDER00415</t>
  </si>
  <si>
    <t>CUST0188</t>
  </si>
  <si>
    <t>ORDER00416</t>
  </si>
  <si>
    <t>ORDER00417</t>
  </si>
  <si>
    <t>ORDER00418</t>
  </si>
  <si>
    <t>ORDER00419</t>
  </si>
  <si>
    <t>ORDER00420</t>
  </si>
  <si>
    <t>ORDER00421</t>
  </si>
  <si>
    <t>ORDER00422</t>
  </si>
  <si>
    <t>ORDER00423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</si>
  <si>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</si>
  <si>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</si>
  <si>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</si>
  <si>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</si>
  <si>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</si>
  <si>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</si>
  <si>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</si>
  <si>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</si>
  <si>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</si>
  <si>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</si>
  <si>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</si>
  <si>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</si>
  <si>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</si>
  <si>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</si>
  <si>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</si>
  <si>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</si>
  <si>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</si>
  <si>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</si>
  <si>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CUST0117</t>
  </si>
  <si>
    <t>ORDER00442</t>
  </si>
  <si>
    <t>ORDER00443</t>
  </si>
  <si>
    <t>ORDER00444</t>
  </si>
  <si>
    <t>ORDER00445</t>
  </si>
  <si>
    <t>ORDER00446</t>
  </si>
  <si>
    <t>ORDER00447</t>
  </si>
  <si>
    <t>ORDER00448</t>
  </si>
  <si>
    <t>CUST0025</t>
  </si>
  <si>
    <t>ORDER00449</t>
  </si>
  <si>
    <t>ORDER00450</t>
  </si>
  <si>
    <t>ORDER00451</t>
  </si>
  <si>
    <t>ORDER00452</t>
  </si>
  <si>
    <t>ORDER00453</t>
  </si>
  <si>
    <t>CUST0084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</si>
  <si>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</si>
  <si>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</si>
  <si>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</si>
  <si>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</si>
  <si>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</si>
  <si>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</si>
  <si>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</si>
  <si>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</si>
  <si>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ORDER00462</t>
  </si>
  <si>
    <t>ORDER00463</t>
  </si>
  <si>
    <t>ORDER00464</t>
  </si>
  <si>
    <t>CUST0186</t>
  </si>
  <si>
    <t>ORDER00465</t>
  </si>
  <si>
    <t>ORDER00466</t>
  </si>
  <si>
    <t>ORDER00467</t>
  </si>
  <si>
    <t>ORDER00468</t>
  </si>
  <si>
    <t>ORDER00469</t>
  </si>
  <si>
    <t>ORDER00470</t>
  </si>
  <si>
    <t>ORDER00471</t>
  </si>
  <si>
    <t>ORDER00472</t>
  </si>
  <si>
    <t>ORDER00473</t>
  </si>
  <si>
    <t>CUST0228</t>
  </si>
  <si>
    <t>ORDER00474</t>
  </si>
  <si>
    <t>CUST0040</t>
  </si>
  <si>
    <t>ORDER00475</t>
  </si>
  <si>
    <t>ORDER00476</t>
  </si>
  <si>
    <t>ORDER00477</t>
  </si>
  <si>
    <t>ORDER00478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</si>
  <si>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</si>
  <si>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</si>
  <si>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</si>
  <si>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</si>
  <si>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</si>
  <si>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</si>
  <si>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</si>
  <si>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</si>
  <si>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</si>
  <si>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</si>
  <si>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CUST0192</t>
  </si>
  <si>
    <t>ORDER00489</t>
  </si>
  <si>
    <t>ORDER00490</t>
  </si>
  <si>
    <t>ORDER00491</t>
  </si>
  <si>
    <t>CUST0212</t>
  </si>
  <si>
    <t>ORDER00492</t>
  </si>
  <si>
    <t>CUST0022</t>
  </si>
  <si>
    <t>ORDER00493</t>
  </si>
  <si>
    <t>ORDER00494</t>
  </si>
  <si>
    <t>CUST0239</t>
  </si>
  <si>
    <t>ORDER00495</t>
  </si>
  <si>
    <t>ORDER00496</t>
  </si>
  <si>
    <t>ORDER00497</t>
  </si>
  <si>
    <t>ORDER00498</t>
  </si>
  <si>
    <t>ORDER00499</t>
  </si>
  <si>
    <t>CUST0220</t>
  </si>
  <si>
    <t>ORDER00500</t>
  </si>
  <si>
    <t>ORDER00501</t>
  </si>
  <si>
    <t>ORDER00502</t>
  </si>
  <si>
    <t>ORDER00503</t>
  </si>
  <si>
    <t>ORDER00504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</si>
  <si>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</si>
  <si>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</si>
  <si>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</si>
  <si>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</si>
  <si>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</si>
  <si>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</si>
  <si>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</si>
  <si>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CUST0158</t>
  </si>
  <si>
    <t>ORDER00512</t>
  </si>
  <si>
    <t>ORDER00513</t>
  </si>
  <si>
    <t>ORDER00514</t>
  </si>
  <si>
    <t>ORDER00515</t>
  </si>
  <si>
    <t>ORDER00516</t>
  </si>
  <si>
    <t>CUST0163</t>
  </si>
  <si>
    <t>ORDER00517</t>
  </si>
  <si>
    <t>ORDER00518</t>
  </si>
  <si>
    <t>ORDER00519</t>
  </si>
  <si>
    <t>ORDER00520</t>
  </si>
  <si>
    <t>ORDER00521</t>
  </si>
  <si>
    <t>ORDER00522</t>
  </si>
  <si>
    <t>CUST0074</t>
  </si>
  <si>
    <t>ORDER00523</t>
  </si>
  <si>
    <t>ORDER00524</t>
  </si>
  <si>
    <t>ORDER00525</t>
  </si>
  <si>
    <t>ORDER00526</t>
  </si>
  <si>
    <t>ORDER00527</t>
  </si>
  <si>
    <t>ORDER00528</t>
  </si>
  <si>
    <t>CUST0076</t>
  </si>
  <si>
    <t>ORDER00529</t>
  </si>
  <si>
    <t>ORDER00530</t>
  </si>
  <si>
    <t>ORDER00531</t>
  </si>
  <si>
    <t>ORDER00532</t>
  </si>
  <si>
    <t>CUST0005</t>
  </si>
  <si>
    <t>ORDER00533</t>
  </si>
  <si>
    <t>ORDER00534</t>
  </si>
  <si>
    <t>ORDER00535</t>
  </si>
  <si>
    <t>ORDER00536</t>
  </si>
  <si>
    <t>ORDER00537</t>
  </si>
  <si>
    <t>ORDER00538</t>
  </si>
  <si>
    <t>CUST0140</t>
  </si>
  <si>
    <t>ORDER00539</t>
  </si>
  <si>
    <t>ORDER00540</t>
  </si>
  <si>
    <t>ORDER00541</t>
  </si>
  <si>
    <t>ORDER00542</t>
  </si>
  <si>
    <t>ORDER00543</t>
  </si>
  <si>
    <t>ORDER00544</t>
  </si>
  <si>
    <t>CUST0151</t>
  </si>
  <si>
    <t>ORDER00545</t>
  </si>
  <si>
    <t>ORDER00546</t>
  </si>
  <si>
    <t>ORDER00547</t>
  </si>
  <si>
    <t>ORDER00548</t>
  </si>
  <si>
    <t>ORDER00549</t>
  </si>
  <si>
    <t>ORDER00550</t>
  </si>
  <si>
    <t>ORDER00551</t>
  </si>
  <si>
    <t>ORDER00552</t>
  </si>
  <si>
    <t>ORDER00553</t>
  </si>
  <si>
    <t>ORDER00554</t>
  </si>
  <si>
    <t>ORDER00555</t>
  </si>
  <si>
    <t>CUST0060</t>
  </si>
  <si>
    <t>ORDER00556</t>
  </si>
  <si>
    <t>CUST0247</t>
  </si>
  <si>
    <t>ORDER00557</t>
  </si>
  <si>
    <t>CUST0120</t>
  </si>
  <si>
    <t>ORDER00558</t>
  </si>
  <si>
    <t>ORDER00559</t>
  </si>
  <si>
    <t>ORDER00560</t>
  </si>
  <si>
    <t>ORDER00561</t>
  </si>
  <si>
    <t>ORDER00562</t>
  </si>
  <si>
    <t>ORDER00563</t>
  </si>
  <si>
    <t>ORDER00564</t>
  </si>
  <si>
    <t>ORDER00565</t>
  </si>
  <si>
    <t>ORDER00566</t>
  </si>
  <si>
    <t>ORDER00567</t>
  </si>
  <si>
    <t>ORDER00568</t>
  </si>
  <si>
    <t>CUST0187</t>
  </si>
  <si>
    <t>ORDER00569</t>
  </si>
  <si>
    <t>ORDER00570</t>
  </si>
  <si>
    <t>ORDER00571</t>
  </si>
  <si>
    <t>ORDER00572</t>
  </si>
  <si>
    <t>ORDER00573</t>
  </si>
  <si>
    <t>ORDER00574</t>
  </si>
  <si>
    <t>ORDER00575</t>
  </si>
  <si>
    <t>ORDER00576</t>
  </si>
  <si>
    <t>ORDER00577</t>
  </si>
  <si>
    <t>ORDER00578</t>
  </si>
  <si>
    <t>ORDER00579</t>
  </si>
  <si>
    <t>ORDER00580</t>
  </si>
  <si>
    <t>ORDER00581</t>
  </si>
  <si>
    <t>ORDER00582</t>
  </si>
  <si>
    <t>ORDER00583</t>
  </si>
  <si>
    <t>ORDER00584</t>
  </si>
  <si>
    <t>CUST0177</t>
  </si>
  <si>
    <t>ORDER00585</t>
  </si>
  <si>
    <t>ORDER00586</t>
  </si>
  <si>
    <t>ORDER00587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</si>
  <si>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</si>
  <si>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</si>
  <si>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</si>
  <si>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</si>
  <si>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</si>
  <si>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</si>
  <si>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</si>
  <si>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</si>
  <si>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</si>
  <si>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</si>
  <si>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</si>
  <si>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</si>
  <si>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</si>
  <si>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</si>
  <si>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</si>
  <si>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</si>
  <si>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</si>
  <si>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</si>
  <si>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</si>
  <si>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</si>
  <si>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CUST0095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</si>
  <si>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</si>
  <si>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</si>
  <si>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</si>
  <si>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</si>
  <si>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</si>
  <si>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</si>
  <si>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</si>
  <si>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CUST0137</t>
  </si>
  <si>
    <t>ORDER00615</t>
  </si>
  <si>
    <t>CUST0085</t>
  </si>
  <si>
    <t>ORDER00616</t>
  </si>
  <si>
    <t>ORDER00617</t>
  </si>
  <si>
    <t>ORDER00618</t>
  </si>
  <si>
    <t>ORDER00619</t>
  </si>
  <si>
    <t>ORDER00620</t>
  </si>
  <si>
    <t>ORDER00621</t>
  </si>
  <si>
    <t>ORDER00622</t>
  </si>
  <si>
    <t>ORDER00623</t>
  </si>
  <si>
    <t>ORDER00624</t>
  </si>
  <si>
    <t>ORDER00625</t>
  </si>
  <si>
    <t>ORDER00626</t>
  </si>
  <si>
    <t>ORDER00627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</si>
  <si>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</si>
  <si>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</si>
  <si>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</si>
  <si>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</si>
  <si>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</si>
  <si>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</si>
  <si>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</si>
  <si>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</si>
  <si>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</si>
  <si>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</si>
  <si>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</si>
  <si>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</si>
  <si>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CUST0020</t>
  </si>
  <si>
    <t>ORDER00640</t>
  </si>
  <si>
    <t>ORDER00641</t>
  </si>
  <si>
    <t>ORDER00642</t>
  </si>
  <si>
    <t>CUST0101</t>
  </si>
  <si>
    <t>ORDER00643</t>
  </si>
  <si>
    <t>ORDER00644</t>
  </si>
  <si>
    <t>ORDER00645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</si>
  <si>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</si>
  <si>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</si>
  <si>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</si>
  <si>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</si>
  <si>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</si>
  <si>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</si>
  <si>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</si>
  <si>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</si>
  <si>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</si>
  <si>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</si>
  <si>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</si>
  <si>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</si>
  <si>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</si>
  <si>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</si>
  <si>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</si>
  <si>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</si>
  <si>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</si>
  <si>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</si>
  <si>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</si>
  <si>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CUST0169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</si>
  <si>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</si>
  <si>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</si>
  <si>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</si>
  <si>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</si>
  <si>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</si>
  <si>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</si>
  <si>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</si>
  <si>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</si>
  <si>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</si>
  <si>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</si>
  <si>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</si>
  <si>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</si>
  <si>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</si>
  <si>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</si>
  <si>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</si>
  <si>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</si>
  <si>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</si>
  <si>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</si>
  <si>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</si>
  <si>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</si>
  <si>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</si>
  <si>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</si>
  <si>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</si>
  <si>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</si>
  <si>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</si>
  <si>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</si>
  <si>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</si>
  <si>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</si>
  <si>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</si>
  <si>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</si>
  <si>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</si>
  <si>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</si>
  <si>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</si>
  <si>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</si>
  <si>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</si>
  <si>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</si>
  <si>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</si>
  <si>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</si>
  <si>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</si>
  <si>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</si>
  <si>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</si>
  <si>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</si>
  <si>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CUST0104</t>
  </si>
  <si>
    <t>ORDER00707</t>
  </si>
  <si>
    <t>ORDER00708</t>
  </si>
  <si>
    <t>ORDER00709</t>
  </si>
  <si>
    <t>CUST0130</t>
  </si>
  <si>
    <t>ORDER00710</t>
  </si>
  <si>
    <t>ORDER00711</t>
  </si>
  <si>
    <t>ORDER00712</t>
  </si>
  <si>
    <t>CUST0213</t>
  </si>
  <si>
    <t>ORDER00713</t>
  </si>
  <si>
    <t>ORDER00714</t>
  </si>
  <si>
    <t>ORDER00715</t>
  </si>
  <si>
    <t>ORDER00716</t>
  </si>
  <si>
    <t>ORDER00717</t>
  </si>
  <si>
    <t>ORDER00718</t>
  </si>
  <si>
    <t>ORDER00719</t>
  </si>
  <si>
    <t>CUST0054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</si>
  <si>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</si>
  <si>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</si>
  <si>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</si>
  <si>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</si>
  <si>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</si>
  <si>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</si>
  <si>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</si>
  <si>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</si>
  <si>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</si>
  <si>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</si>
  <si>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</si>
  <si>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ORDER00731</t>
  </si>
  <si>
    <t>ORDER00732</t>
  </si>
  <si>
    <t>ORDER00733</t>
  </si>
  <si>
    <t>ORDER00734</t>
  </si>
  <si>
    <t>ORDER00735</t>
  </si>
  <si>
    <t>ORDER00736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</si>
  <si>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</si>
  <si>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</si>
  <si>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</si>
  <si>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</si>
  <si>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</si>
  <si>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</si>
  <si>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</si>
  <si>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</si>
  <si>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</si>
  <si>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</si>
  <si>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ORDER00747</t>
  </si>
  <si>
    <t>ORDER00748</t>
  </si>
  <si>
    <t>CUST0012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</si>
  <si>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</si>
  <si>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</si>
  <si>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</si>
  <si>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</si>
  <si>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</si>
  <si>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</si>
  <si>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</si>
  <si>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</si>
  <si>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</si>
  <si>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</si>
  <si>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</si>
  <si>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</si>
  <si>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</si>
  <si>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</si>
  <si>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ORDER00763</t>
  </si>
  <si>
    <t>ORDER00764</t>
  </si>
  <si>
    <t>ORDER00765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</si>
  <si>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</si>
  <si>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</si>
  <si>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</si>
  <si>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</si>
  <si>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</si>
  <si>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</si>
  <si>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</si>
  <si>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</si>
  <si>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</si>
  <si>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</si>
  <si>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</si>
  <si>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</si>
  <si>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ORDER00778</t>
  </si>
  <si>
    <t>ORDER00779</t>
  </si>
  <si>
    <t>ORDER00780</t>
  </si>
  <si>
    <t>ORDER00781</t>
  </si>
  <si>
    <t>ORDER00782</t>
  </si>
  <si>
    <t>CUST0094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</si>
  <si>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</si>
  <si>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</si>
  <si>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</si>
  <si>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</si>
  <si>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</si>
  <si>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</si>
  <si>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</si>
  <si>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</si>
  <si>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</si>
  <si>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</si>
  <si>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</si>
  <si>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ORDER00794</t>
  </si>
  <si>
    <t>ORDER00795</t>
  </si>
  <si>
    <t>ORDER00796</t>
  </si>
  <si>
    <t>ORDER00797</t>
  </si>
  <si>
    <t>ORDER00798</t>
  </si>
  <si>
    <t>ORDER00799</t>
  </si>
  <si>
    <t>ORDER00800</t>
  </si>
  <si>
    <t>ORDER00801</t>
  </si>
  <si>
    <t>ORDER00802</t>
  </si>
  <si>
    <t>ORDER00803</t>
  </si>
  <si>
    <t>ORDER00804</t>
  </si>
  <si>
    <t>ORDER00805</t>
  </si>
  <si>
    <t>CUST0235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</si>
  <si>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</si>
  <si>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</si>
  <si>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</si>
  <si>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</si>
  <si>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</si>
  <si>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</si>
  <si>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</si>
  <si>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CUST0024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</si>
  <si>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</si>
  <si>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</si>
  <si>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</si>
  <si>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</si>
  <si>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</si>
  <si>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</si>
  <si>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</si>
  <si>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</si>
  <si>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</si>
  <si>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</si>
  <si>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</si>
  <si>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</si>
  <si>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</si>
  <si>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</si>
  <si>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</si>
  <si>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</si>
  <si>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</si>
  <si>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</si>
  <si>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</si>
  <si>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CUST0019</t>
  </si>
  <si>
    <t>ORDER00832</t>
  </si>
  <si>
    <t>ORDER00833</t>
  </si>
  <si>
    <t>ORDER00834</t>
  </si>
  <si>
    <t>CUST0160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</si>
  <si>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</si>
  <si>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</si>
  <si>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</si>
  <si>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</si>
  <si>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</si>
  <si>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</si>
  <si>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</si>
  <si>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</si>
  <si>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</si>
  <si>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</si>
  <si>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</si>
  <si>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CUST0244</t>
  </si>
  <si>
    <t>ORDER00846</t>
  </si>
  <si>
    <t>ORDER00847</t>
  </si>
  <si>
    <t>ORDER00848</t>
  </si>
  <si>
    <t>ORDER00849</t>
  </si>
  <si>
    <t>ORDER00850</t>
  </si>
  <si>
    <t>ORDER00851</t>
  </si>
  <si>
    <t>ORDER00852</t>
  </si>
  <si>
    <t>ORDER00853</t>
  </si>
  <si>
    <t>ORDER00854</t>
  </si>
  <si>
    <t>CUST0061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</si>
  <si>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</si>
  <si>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</si>
  <si>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</si>
  <si>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</si>
  <si>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</si>
  <si>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</si>
  <si>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</si>
  <si>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</si>
  <si>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</si>
  <si>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</si>
  <si>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</si>
  <si>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CUST0092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</si>
  <si>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</si>
  <si>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</si>
  <si>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</si>
  <si>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</si>
  <si>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</si>
  <si>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</si>
  <si>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</si>
  <si>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</si>
  <si>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</si>
  <si>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CUST0139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</si>
  <si>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</si>
  <si>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</si>
  <si>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</si>
  <si>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</si>
  <si>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</si>
  <si>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</si>
  <si>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</si>
  <si>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</si>
  <si>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</si>
  <si>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</si>
  <si>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</si>
  <si>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</si>
  <si>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</si>
  <si>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</si>
  <si>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</si>
  <si>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</si>
  <si>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</si>
  <si>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</si>
  <si>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</si>
  <si>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</si>
  <si>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</si>
  <si>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</si>
  <si>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</si>
  <si>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</si>
  <si>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</si>
  <si>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</si>
  <si>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</si>
  <si>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</si>
  <si>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</si>
  <si>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</si>
  <si>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</si>
  <si>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</si>
  <si>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CUST0083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</si>
  <si>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</si>
  <si>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</si>
  <si>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</si>
  <si>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</si>
  <si>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</si>
  <si>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</si>
  <si>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</si>
  <si>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</si>
  <si>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</si>
  <si>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</si>
  <si>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</si>
  <si>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</si>
  <si>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</si>
  <si>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</si>
  <si>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</si>
  <si>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</si>
  <si>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</si>
  <si>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</si>
  <si>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</si>
  <si>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</si>
  <si>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</si>
  <si>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</si>
  <si>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</si>
  <si>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</si>
  <si>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</si>
  <si>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</si>
  <si>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</si>
  <si>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</si>
  <si>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</si>
  <si>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</si>
  <si>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</si>
  <si>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</si>
  <si>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</si>
  <si>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</si>
  <si>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</si>
  <si>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</si>
  <si>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</si>
  <si>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</si>
  <si>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</si>
  <si>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</si>
  <si>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</si>
  <si>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</si>
  <si>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</si>
  <si>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</si>
  <si>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ORDER00951</t>
  </si>
  <si>
    <t>ORDER00952</t>
  </si>
  <si>
    <t>ORDER00953</t>
  </si>
  <si>
    <t>ORDER00954</t>
  </si>
  <si>
    <t>ORDER00955</t>
  </si>
  <si>
    <t>ORDER00956</t>
  </si>
  <si>
    <t>CUST0033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</si>
  <si>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</si>
  <si>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</si>
  <si>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</si>
  <si>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</si>
  <si>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</si>
  <si>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</si>
  <si>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</si>
  <si>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</si>
  <si>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</si>
  <si>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</si>
  <si>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</si>
  <si>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</si>
  <si>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</si>
  <si>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</si>
  <si>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</si>
  <si>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</si>
  <si>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</si>
  <si>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</si>
  <si>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</si>
  <si>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</si>
  <si>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</si>
  <si>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</si>
  <si>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</si>
  <si>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</si>
  <si>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</si>
  <si>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</si>
  <si>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</si>
  <si>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</si>
  <si>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</si>
  <si>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</si>
  <si>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</si>
  <si>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</si>
  <si>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</si>
  <si>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</si>
  <si>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</si>
  <si>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</si>
  <si>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</si>
  <si>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</si>
  <si>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</si>
  <si>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</si>
  <si>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</si>
  <si>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</si>
  <si>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</si>
  <si>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</si>
  <si>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Row Labels</t>
  </si>
  <si>
    <t>Grand Total</t>
  </si>
  <si>
    <t>Max of order_date</t>
  </si>
  <si>
    <t>Count of order_id</t>
  </si>
  <si>
    <t>Sum of order_value</t>
  </si>
  <si>
    <t>Recency</t>
  </si>
  <si>
    <t>Frequency</t>
  </si>
  <si>
    <t>Monetary</t>
  </si>
  <si>
    <t>Customer_ID</t>
  </si>
  <si>
    <t>RFM_Score</t>
  </si>
  <si>
    <t>R_Score (Recency)</t>
  </si>
  <si>
    <t>F_Score (Frequency)</t>
  </si>
  <si>
    <t>M_Score (Monetary)</t>
  </si>
  <si>
    <t>RFM_Category</t>
  </si>
  <si>
    <t>At Risk</t>
  </si>
  <si>
    <t>Best Customers</t>
  </si>
  <si>
    <t>Loyal Customers</t>
  </si>
  <si>
    <t>Need Attention</t>
  </si>
  <si>
    <t>Potential Loyal Customers</t>
  </si>
  <si>
    <t>RFM Category</t>
  </si>
  <si>
    <t>Number of customers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</si>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</sst>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vertical="top"/>
    </xf>
    <xf numFmtId="0" fontId="0" fillId="0" borderId="0" xfId="0" applyNumberFormat="1"/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B2D69A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numFmt numFmtId="2" formatCode="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2D6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n Wójtowicz" refreshedDate="46032.540708217595" createdVersion="8" refreshedVersion="8" minRefreshableVersion="3" recordCount="1000" xr:uid="{8BE31D35-5C0B-4D62-AE07-E3188943A605}">
  <cacheSource type="worksheet">
    <worksheetSource name="tile_store_orders"/>
  </cacheSource>
  <cacheFields count="5">
    <cacheField name="order_id" numFmtId="0">
      <sharedItems count="1000">
        <s v="ORDER00001"/>
        <s v="ORDER00002"/>
        <s v="ORDER00003"/>
        <s v="ORDER00004"/>
        <s v="ORDER00005"/>
        <s v="ORDER00006"/>
        <s v="ORDER00007"/>
        <s v="ORDER00008"/>
        <s v="ORDER00009"/>
        <s v="ORDER00010"/>
        <s v="ORDER00011"/>
        <s v="ORDER00012"/>
        <s v="ORDER00013"/>
        <s v="ORDER00014"/>
        <s v="ORDER00015"/>
        <s v="ORDER00016"/>
        <s v="ORDER00017"/>
        <s v="ORDER00018"/>
        <s v="ORDER00019"/>
        <s v="ORDER00020"/>
        <s v="ORDER00021"/>
        <s v="ORDER00022"/>
        <s v="ORDER00023"/>
        <s v="ORDER00024"/>
        <s v="ORDER00025"/>
        <s v="ORDER00026"/>
        <s v="ORDER00027"/>
        <s v="ORDER00028"/>
        <s v="ORDER00029"/>
        <s v="ORDER00030"/>
        <s v="ORDER00031"/>
        <s v="ORDER00032"/>
        <s v="ORDER00033"/>
        <s v="ORDER00034"/>
        <s v="ORDER00035"/>
        <s v="ORDER00036"/>
        <s v="ORDER00037"/>
        <s v="ORDER00038"/>
        <s v="ORDER00039"/>
        <s v="ORDER00040"/>
        <s v="ORDER00041"/>
        <s v="ORDER00042"/>
        <s v="ORDER00043"/>
        <s v="ORDER00044"/>
        <s v="ORDER00045"/>
        <s v="ORDER00046"/>
        <s v="ORDER00047"/>
        <s v="ORDER00048"/>
        <s v="ORDER00049"/>
        <s v="ORDER00050"/>
        <s v="ORDER00051"/>
        <s v="ORDER00052"/>
        <s v="ORDER00053"/>
        <s v="ORDER00054"/>
        <s v="ORDER00055"/>
        <s v="ORDER00056"/>
        <s v="ORDER00057"/>
        <s v="ORDER00058"/>
        <s v="ORDER00059"/>
        <s v="ORDER00060"/>
        <s v="ORDER00061"/>
        <s v="ORDER00062"/>
        <s v="ORDER00063"/>
        <s v="ORDER00064"/>
        <s v="ORDER00065"/>
        <s v="ORDER00066"/>
        <s v="ORDER00067"/>
        <s v="ORDER00068"/>
        <s v="ORDER00069"/>
        <s v="ORDER00070"/>
        <s v="ORDER00071"/>
        <s v="ORDER00072"/>
        <s v="ORDER00073"/>
        <s v="ORDER00074"/>
        <s v="ORDER00075"/>
        <s v="ORDER00076"/>
        <s v="ORDER00077"/>
        <s v="ORDER00078"/>
        <s v="ORDER00079"/>
        <s v="ORDER00080"/>
        <s v="ORDER00081"/>
        <s v="ORDER00082"/>
        <s v="ORDER00083"/>
        <s v="ORDER00084"/>
        <s v="ORDER00085"/>
        <s v="ORDER00086"/>
        <s v="ORDER00087"/>
        <s v="ORDER00088"/>
        <s v="ORDER00089"/>
        <s v="ORDER00090"/>
        <s v="ORDER00091"/>
        <s v="ORDER00092"/>
        <s v="ORDER00093"/>
        <s v="ORDER00094"/>
        <s v="ORDER00095"/>
        <s v="ORDER00096"/>
        <s v="ORDER00097"/>
        <s v="ORDER00098"/>
        <s v="ORDER00099"/>
        <s v="ORDER00100"/>
        <s v="ORDER00101"/>
        <s v="ORDER00102"/>
        <s v="ORDER00103"/>
        <s v="ORDER00104"/>
        <s v="ORDER00105"/>
        <s v="ORDER00106"/>
        <s v="ORDER00107"/>
        <s v="ORDER00108"/>
        <s v="ORDER00109"/>
        <s v="ORDER00110"/>
        <s v="ORDER00111"/>
        <s v="ORDER00112"/>
        <s v="ORDER00113"/>
        <s v="ORDER00114"/>
        <s v="ORDER00115"/>
        <s v="ORDER00116"/>
        <s v="ORDER00117"/>
        <s v="ORDER00118"/>
        <s v="ORDER00119"/>
        <s v="ORDER00120"/>
        <s v="ORDER00121"/>
        <s v="ORDER00122"/>
        <s v="ORDER00123"/>
        <s v="ORDER00124"/>
        <s v="ORDER00125"/>
        <s v="ORDER00126"/>
        <s v="ORDER00127"/>
        <s v="ORDER00128"/>
        <s v="ORDER00129"/>
        <s v="ORDER00130"/>
        <s v="ORDER00131"/>
        <s v="ORDER00132"/>
        <s v="ORDER00133"/>
        <s v="ORDER00134"/>
        <s v="ORDER00135"/>
        <s v="ORDER00136"/>
        <s v="ORDER00137"/>
        <s v="ORDER00138"/>
        <s v="ORDER00139"/>
        <s v="ORDER00140"/>
        <s v="ORDER00141"/>
        <s v="ORDER00142"/>
        <s v="ORDER00143"/>
        <s v="ORDER00144"/>
        <s v="ORDER00145"/>
        <s v="ORDER00146"/>
        <s v="ORDER00147"/>
        <s v="ORDER00148"/>
        <s v="ORDER00149"/>
        <s v="ORDER00150"/>
        <s v="ORDER00151"/>
        <s v="ORDER00152"/>
        <s v="ORDER00153"/>
        <s v="ORDER00154"/>
        <s v="ORDER00155"/>
        <s v="ORDER00156"/>
        <s v="ORDER00157"/>
        <s v="ORDER00158"/>
        <s v="ORDER00159"/>
        <s v="ORDER00160"/>
        <s v="ORDER00161"/>
        <s v="ORDER00162"/>
        <s v="ORDER00163"/>
        <s v="ORDER00164"/>
        <s v="ORDER00165"/>
        <s v="ORDER00166"/>
        <s v="ORDER00167"/>
        <s v="ORDER00168"/>
        <s v="ORDER00169"/>
        <s v="ORDER00170"/>
        <s v="ORDER00171"/>
        <s v="ORDER00172"/>
        <s v="ORDER00173"/>
        <s v="ORDER00174"/>
        <s v="ORDER00175"/>
        <s v="ORDER00176"/>
        <s v="ORDER00177"/>
        <s v="ORDER00178"/>
        <s v="ORDER00179"/>
        <s v="ORDER00180"/>
        <s v="ORDER00181"/>
        <s v="ORDER00182"/>
        <s v="ORDER00183"/>
        <s v="ORDER00184"/>
        <s v="ORDER00185"/>
        <s v="ORDER00186"/>
        <s v="ORDER00187"/>
        <s v="ORDER00188"/>
        <s v="ORDER00189"/>
        <s v="ORDER00190"/>
        <s v="ORDER00191"/>
        <s v="ORDER00192"/>
        <s v="ORDER00193"/>
        <s v="ORDER00194"/>
        <s v="ORDER00195"/>
        <s v="ORDER00196"/>
        <s v="ORDER00197"/>
        <s v="ORDER00198"/>
        <s v="ORDER00199"/>
        <s v="ORDER00200"/>
        <s v="ORDER00201"/>
        <s v="ORDER00202"/>
        <s v="ORDER00203"/>
        <s v="ORDER00204"/>
        <s v="ORDER00205"/>
        <s v="ORDER00206"/>
        <s v="ORDER00207"/>
        <s v="ORDER00208"/>
        <s v="ORDER00209"/>
        <s v="ORDER00210"/>
        <s v="ORDER00211"/>
        <s v="ORDER00212"/>
        <s v="ORDER00213"/>
        <s v="ORDER00214"/>
        <s v="ORDER00215"/>
        <s v="ORDER00216"/>
        <s v="ORDER00217"/>
        <s v="ORDER00218"/>
        <s v="ORDER00219"/>
        <s v="ORDER00220"/>
        <s v="ORDER00221"/>
        <s v="ORDER00222"/>
        <s v="ORDER00223"/>
        <s v="ORDER00224"/>
        <s v="ORDER00225"/>
        <s v="ORDER00226"/>
        <s v="ORDER00227"/>
        <s v="ORDER00228"/>
        <s v="ORDER00229"/>
        <s v="ORDER00230"/>
        <s v="ORDER00231"/>
        <s v="ORDER00232"/>
        <s v="ORDER00233"/>
        <s v="ORDER00234"/>
        <s v="ORDER00235"/>
        <s v="ORDER00236"/>
        <s v="ORDER00237"/>
        <s v="ORDER00238"/>
        <s v="ORDER00239"/>
        <s v="ORDER00240"/>
        <s v="ORDER00241"/>
        <s v="ORDER00242"/>
        <s v="ORDER00243"/>
        <s v="ORDER00244"/>
        <s v="ORDER00245"/>
        <s v="ORDER00246"/>
        <s v="ORDER00247"/>
        <s v="ORDER00248"/>
        <s v="ORDER00249"/>
        <s v="ORDER00250"/>
        <s v="ORDER00251"/>
        <s v="ORDER00252"/>
        <s v="ORDER00253"/>
        <s v="ORDER00254"/>
        <s v="ORDER00255"/>
        <s v="ORDER00256"/>
        <s v="ORDER00257"/>
        <s v="ORDER00258"/>
        <s v="ORDER00259"/>
        <s v="ORDER00260"/>
        <s v="ORDER00261"/>
        <s v="ORDER00262"/>
        <s v="ORDER00263"/>
        <s v="ORDER00264"/>
        <s v="ORDER00265"/>
        <s v="ORDER00266"/>
        <s v="ORDER00267"/>
        <s v="ORDER00268"/>
        <s v="ORDER00269"/>
        <s v="ORDER00270"/>
        <s v="ORDER00271"/>
        <s v="ORDER00272"/>
        <s v="ORDER00273"/>
        <s v="ORDER00274"/>
        <s v="ORDER00275"/>
        <s v="ORDER00276"/>
        <s v="ORDER00277"/>
        <s v="ORDER00278"/>
        <s v="ORDER00279"/>
        <s v="ORDER00280"/>
        <s v="ORDER00281"/>
        <s v="ORDER00282"/>
        <s v="ORDER00283"/>
        <s v="ORDER00284"/>
        <s v="ORDER00285"/>
        <s v="ORDER00286"/>
        <s v="ORDER00287"/>
        <s v="ORDER00288"/>
        <s v="ORDER00289"/>
        <s v="ORDER00290"/>
        <s v="ORDER00291"/>
        <s v="ORDER00292"/>
        <s v="ORDER00293"/>
        <s v="ORDER00294"/>
        <s v="ORDER00295"/>
        <s v="ORDER00296"/>
        <s v="ORDER00297"/>
        <s v="ORDER00298"/>
        <s v="ORDER00299"/>
        <s v="ORDER00300"/>
        <s v="ORDER00301"/>
        <s v="ORDER00302"/>
        <s v="ORDER00303"/>
        <s v="ORDER00304"/>
        <s v="ORDER00305"/>
        <s v="ORDER00306"/>
        <s v="ORDER00307"/>
        <s v="ORDER00308"/>
        <s v="ORDER00309"/>
        <s v="ORDER00310"/>
        <s v="ORDER00311"/>
        <s v="ORDER00312"/>
        <s v="ORDER00313"/>
        <s v="ORDER00314"/>
        <s v="ORDER00315"/>
        <s v="ORDER00316"/>
        <s v="ORDER00317"/>
        <s v="ORDER00318"/>
        <s v="ORDER00319"/>
        <s v="ORDER00320"/>
        <s v="ORDER00321"/>
        <s v="ORDER00322"/>
        <s v="ORDER00323"/>
        <s v="ORDER00324"/>
        <s v="ORDER00325"/>
        <s v="ORDER00326"/>
        <s v="ORDER00327"/>
        <s v="ORDER00328"/>
        <s v="ORDER00329"/>
        <s v="ORDER00330"/>
        <s v="ORDER00331"/>
        <s v="ORDER00332"/>
        <s v="ORDER00333"/>
        <s v="ORDER00334"/>
        <s v="ORDER00335"/>
        <s v="ORDER00336"/>
        <s v="ORDER00337"/>
        <s v="ORDER00338"/>
        <s v="ORDER00339"/>
        <s v="ORDER00340"/>
        <s v="ORDER00341"/>
        <s v="ORDER00342"/>
        <s v="ORDER00343"/>
        <s v="ORDER00344"/>
        <s v="ORDER00345"/>
        <s v="ORDER00346"/>
        <s v="ORDER00347"/>
        <s v="ORDER00348"/>
        <s v="ORDER00349"/>
        <s v="ORDER00350"/>
        <s v="ORDER00351"/>
        <s v="ORDER00352"/>
        <s v="ORDER00353"/>
        <s v="ORDER00354"/>
        <s v="ORDER00355"/>
        <s v="ORDER00356"/>
        <s v="ORDER00357"/>
        <s v="ORDER00358"/>
        <s v="ORDER00359"/>
        <s v="ORDER00360"/>
        <s v="ORDER00361"/>
        <s v="ORDER00362"/>
        <s v="ORDER00363"/>
        <s v="ORDER00364"/>
        <s v="ORDER00365"/>
        <s v="ORDER00366"/>
        <s v="ORDER00367"/>
        <s v="ORDER00368"/>
        <s v="ORDER00369"/>
        <s v="ORDER00370"/>
        <s v="ORDER00371"/>
        <s v="ORDER00372"/>
        <s v="ORDER00373"/>
        <s v="ORDER00374"/>
        <s v="ORDER00375"/>
        <s v="ORDER00376"/>
        <s v="ORDER00377"/>
        <s v="ORDER00378"/>
        <s v="ORDER00379"/>
        <s v="ORDER00380"/>
        <s v="ORDER00381"/>
        <s v="ORDER00382"/>
        <s v="ORDER00383"/>
        <s v="ORDER00384"/>
        <s v="ORDER00385"/>
        <s v="ORDER00386"/>
        <s v="ORDER00387"/>
        <s v="ORDER00388"/>
        <s v="ORDER00389"/>
        <s v="ORDER00390"/>
        <s v="ORDER00391"/>
        <s v="ORDER00392"/>
        <s v="ORDER00393"/>
        <s v="ORDER00394"/>
        <s v="ORDER00395"/>
        <s v="ORDER00396"/>
        <s v="ORDER00397"/>
        <s v="ORDER00398"/>
        <s v="ORDER00399"/>
        <s v="ORDER00400"/>
        <s v="ORDER00401"/>
        <s v="ORDER00402"/>
        <s v="ORDER00403"/>
        <s v="ORDER00404"/>
        <s v="ORDER00405"/>
        <s v="ORDER00406"/>
        <s v="ORDER00407"/>
        <s v="ORDER00408"/>
        <s v="ORDER00409"/>
        <s v="ORDER00410"/>
        <s v="ORDER00411"/>
        <s v="ORDER00412"/>
        <s v="ORDER00413"/>
        <s v="ORDER00414"/>
        <s v="ORDER00415"/>
        <s v="ORDER00416"/>
        <s v="ORDER00417"/>
        <s v="ORDER00418"/>
        <s v="ORDER00419"/>
        <s v="ORDER00420"/>
        <s v="ORDER00421"/>
        <s v="ORDER00422"/>
        <s v="ORDER00423"/>
        <s v="ORDER00424"/>
        <s v="ORDER00425"/>
        <s v="ORDER00426"/>
        <s v="ORDER00427"/>
        <s v="ORDER00428"/>
        <s v="ORDER00429"/>
        <s v="ORDER00430"/>
        <s v="ORDER00431"/>
        <s v="ORDER00432"/>
        <s v="ORDER00433"/>
        <s v="ORDER00434"/>
        <s v="ORDER00435"/>
        <s v="ORDER00436"/>
        <s v="ORDER00437"/>
        <s v="ORDER00438"/>
        <s v="ORDER00439"/>
        <s v="ORDER00440"/>
        <s v="ORDER00441"/>
        <s v="ORDER00442"/>
        <s v="ORDER00443"/>
        <s v="ORDER00444"/>
        <s v="ORDER00445"/>
        <s v="ORDER00446"/>
        <s v="ORDER00447"/>
        <s v="ORDER00448"/>
        <s v="ORDER00449"/>
        <s v="ORDER00450"/>
        <s v="ORDER00451"/>
        <s v="ORDER00452"/>
        <s v="ORDER00453"/>
        <s v="ORDER00454"/>
        <s v="ORDER00455"/>
        <s v="ORDER00456"/>
        <s v="ORDER00457"/>
        <s v="ORDER00458"/>
        <s v="ORDER00459"/>
        <s v="ORDER00460"/>
        <s v="ORDER00461"/>
        <s v="ORDER00462"/>
        <s v="ORDER00463"/>
        <s v="ORDER00464"/>
        <s v="ORDER00465"/>
        <s v="ORDER00466"/>
        <s v="ORDER00467"/>
        <s v="ORDER00468"/>
        <s v="ORDER00469"/>
        <s v="ORDER00470"/>
        <s v="ORDER00471"/>
        <s v="ORDER00472"/>
        <s v="ORDER00473"/>
        <s v="ORDER00474"/>
        <s v="ORDER00475"/>
        <s v="ORDER00476"/>
        <s v="ORDER00477"/>
        <s v="ORDER00478"/>
        <s v="ORDER00479"/>
        <s v="ORDER00480"/>
        <s v="ORDER00481"/>
        <s v="ORDER00482"/>
        <s v="ORDER00483"/>
        <s v="ORDER00484"/>
        <s v="ORDER00485"/>
        <s v="ORDER00486"/>
        <s v="ORDER00487"/>
        <s v="ORDER00488"/>
        <s v="ORDER00489"/>
        <s v="ORDER00490"/>
        <s v="ORDER00491"/>
        <s v="ORDER00492"/>
        <s v="ORDER00493"/>
        <s v="ORDER00494"/>
        <s v="ORDER00495"/>
        <s v="ORDER00496"/>
        <s v="ORDER00497"/>
        <s v="ORDER00498"/>
        <s v="ORDER00499"/>
        <s v="ORDER00500"/>
        <s v="ORDER00501"/>
        <s v="ORDER00502"/>
        <s v="ORDER00503"/>
        <s v="ORDER00504"/>
        <s v="ORDER00505"/>
        <s v="ORDER00506"/>
        <s v="ORDER00507"/>
        <s v="ORDER00508"/>
        <s v="ORDER00509"/>
        <s v="ORDER00510"/>
        <s v="ORDER00511"/>
        <s v="ORDER00512"/>
        <s v="ORDER00513"/>
        <s v="ORDER00514"/>
        <s v="ORDER00515"/>
        <s v="ORDER00516"/>
        <s v="ORDER00517"/>
        <s v="ORDER00518"/>
        <s v="ORDER00519"/>
        <s v="ORDER00520"/>
        <s v="ORDER00521"/>
        <s v="ORDER00522"/>
        <s v="ORDER00523"/>
        <s v="ORDER00524"/>
        <s v="ORDER00525"/>
        <s v="ORDER00526"/>
        <s v="ORDER00527"/>
        <s v="ORDER00528"/>
        <s v="ORDER00529"/>
        <s v="ORDER00530"/>
        <s v="ORDER00531"/>
        <s v="ORDER00532"/>
        <s v="ORDER00533"/>
        <s v="ORDER00534"/>
        <s v="ORDER00535"/>
        <s v="ORDER00536"/>
        <s v="ORDER00537"/>
        <s v="ORDER00538"/>
        <s v="ORDER00539"/>
        <s v="ORDER00540"/>
        <s v="ORDER00541"/>
        <s v="ORDER00542"/>
        <s v="ORDER00543"/>
        <s v="ORDER00544"/>
        <s v="ORDER00545"/>
        <s v="ORDER00546"/>
        <s v="ORDER00547"/>
        <s v="ORDER00548"/>
        <s v="ORDER00549"/>
        <s v="ORDER00550"/>
        <s v="ORDER00551"/>
        <s v="ORDER00552"/>
        <s v="ORDER00553"/>
        <s v="ORDER00554"/>
        <s v="ORDER00555"/>
        <s v="ORDER00556"/>
        <s v="ORDER00557"/>
        <s v="ORDER00558"/>
        <s v="ORDER00559"/>
        <s v="ORDER00560"/>
        <s v="ORDER00561"/>
        <s v="ORDER00562"/>
        <s v="ORDER00563"/>
        <s v="ORDER00564"/>
        <s v="ORDER00565"/>
        <s v="ORDER00566"/>
        <s v="ORDER00567"/>
        <s v="ORDER00568"/>
        <s v="ORDER00569"/>
        <s v="ORDER00570"/>
        <s v="ORDER00571"/>
        <s v="ORDER00572"/>
        <s v="ORDER00573"/>
        <s v="ORDER00574"/>
        <s v="ORDER00575"/>
        <s v="ORDER00576"/>
        <s v="ORDER00577"/>
        <s v="ORDER00578"/>
        <s v="ORDER00579"/>
        <s v="ORDER00580"/>
        <s v="ORDER00581"/>
        <s v="ORDER00582"/>
        <s v="ORDER00583"/>
        <s v="ORDER00584"/>
        <s v="ORDER00585"/>
        <s v="ORDER00586"/>
        <s v="ORDER00587"/>
        <s v="ORDER00588"/>
        <s v="ORDER00589"/>
        <s v="ORDER00590"/>
        <s v="ORDER00591"/>
        <s v="ORDER00592"/>
        <s v="ORDER00593"/>
        <s v="ORDER00594"/>
        <s v="ORDER00595"/>
        <s v="ORDER00596"/>
        <s v="ORDER00597"/>
        <s v="ORDER00598"/>
        <s v="ORDER00599"/>
        <s v="ORDER00600"/>
        <s v="ORDER00601"/>
        <s v="ORDER00602"/>
        <s v="ORDER00603"/>
        <s v="ORDER00604"/>
        <s v="ORDER00605"/>
        <s v="ORDER00606"/>
        <s v="ORDER00607"/>
        <s v="ORDER00608"/>
        <s v="ORDER00609"/>
        <s v="ORDER00610"/>
        <s v="ORDER00611"/>
        <s v="ORDER00612"/>
        <s v="ORDER00613"/>
        <s v="ORDER00614"/>
        <s v="ORDER00615"/>
        <s v="ORDER00616"/>
        <s v="ORDER00617"/>
        <s v="ORDER00618"/>
        <s v="ORDER00619"/>
        <s v="ORDER00620"/>
        <s v="ORDER00621"/>
        <s v="ORDER00622"/>
        <s v="ORDER00623"/>
        <s v="ORDER00624"/>
        <s v="ORDER00625"/>
        <s v="ORDER00626"/>
        <s v="ORDER00627"/>
        <s v="ORDER00628"/>
        <s v="ORDER00629"/>
        <s v="ORDER00630"/>
        <s v="ORDER00631"/>
        <s v="ORDER00632"/>
        <s v="ORDER00633"/>
        <s v="ORDER00634"/>
        <s v="ORDER00635"/>
        <s v="ORDER00636"/>
        <s v="ORDER00637"/>
        <s v="ORDER00638"/>
        <s v="ORDER00639"/>
        <s v="ORDER00640"/>
        <s v="ORDER00641"/>
        <s v="ORDER00642"/>
        <s v="ORDER00643"/>
        <s v="ORDER00644"/>
        <s v="ORDER00645"/>
        <s v="ORDER00646"/>
        <s v="ORDER00647"/>
        <s v="ORDER00648"/>
        <s v="ORDER00649"/>
        <s v="ORDER00650"/>
        <s v="ORDER00651"/>
        <s v="ORDER00652"/>
        <s v="ORDER00653"/>
        <s v="ORDER00654"/>
        <s v="ORDER00655"/>
        <s v="ORDER00656"/>
        <s v="ORDER00657"/>
        <s v="ORDER00658"/>
        <s v="ORDER00659"/>
        <s v="ORDER00660"/>
        <s v="ORDER00661"/>
        <s v="ORDER00662"/>
        <s v="ORDER00663"/>
        <s v="ORDER00664"/>
        <s v="ORDER00665"/>
        <s v="ORDER00666"/>
        <s v="ORDER00667"/>
        <s v="ORDER00668"/>
        <s v="ORDER00669"/>
        <s v="ORDER00670"/>
        <s v="ORDER00671"/>
        <s v="ORDER00672"/>
        <s v="ORDER00673"/>
        <s v="ORDER00674"/>
        <s v="ORDER00675"/>
        <s v="ORDER00676"/>
        <s v="ORDER00677"/>
        <s v="ORDER00678"/>
        <s v="ORDER00679"/>
        <s v="ORDER00680"/>
        <s v="ORDER00681"/>
        <s v="ORDER00682"/>
        <s v="ORDER00683"/>
        <s v="ORDER00684"/>
        <s v="ORDER00685"/>
        <s v="ORDER00686"/>
        <s v="ORDER00687"/>
        <s v="ORDER00688"/>
        <s v="ORDER00689"/>
        <s v="ORDER00690"/>
        <s v="ORDER00691"/>
        <s v="ORDER00692"/>
        <s v="ORDER00693"/>
        <s v="ORDER00694"/>
        <s v="ORDER00695"/>
        <s v="ORDER00696"/>
        <s v="ORDER00697"/>
        <s v="ORDER00698"/>
        <s v="ORDER00699"/>
        <s v="ORDER00700"/>
        <s v="ORDER00701"/>
        <s v="ORDER00702"/>
        <s v="ORDER00703"/>
        <s v="ORDER00704"/>
        <s v="ORDER00705"/>
        <s v="ORDER00706"/>
        <s v="ORDER00707"/>
        <s v="ORDER00708"/>
        <s v="ORDER00709"/>
        <s v="ORDER00710"/>
        <s v="ORDER00711"/>
        <s v="ORDER00712"/>
        <s v="ORDER00713"/>
        <s v="ORDER00714"/>
        <s v="ORDER00715"/>
        <s v="ORDER00716"/>
        <s v="ORDER00717"/>
        <s v="ORDER00718"/>
        <s v="ORDER00719"/>
        <s v="ORDER00720"/>
        <s v="ORDER00721"/>
        <s v="ORDER00722"/>
        <s v="ORDER00723"/>
        <s v="ORDER00724"/>
        <s v="ORDER00725"/>
        <s v="ORDER00726"/>
        <s v="ORDER00727"/>
        <s v="ORDER00728"/>
        <s v="ORDER00729"/>
        <s v="ORDER00730"/>
        <s v="ORDER00731"/>
        <s v="ORDER00732"/>
        <s v="ORDER00733"/>
        <s v="ORDER00734"/>
        <s v="ORDER00735"/>
        <s v="ORDER00736"/>
        <s v="ORDER00737"/>
        <s v="ORDER00738"/>
        <s v="ORDER00739"/>
        <s v="ORDER00740"/>
        <s v="ORDER00741"/>
        <s v="ORDER00742"/>
        <s v="ORDER00743"/>
        <s v="ORDER00744"/>
        <s v="ORDER00745"/>
        <s v="ORDER00746"/>
        <s v="ORDER00747"/>
        <s v="ORDER00748"/>
        <s v="ORDER00749"/>
        <s v="ORDER00750"/>
        <s v="ORDER00751"/>
        <s v="ORDER00752"/>
        <s v="ORDER00753"/>
        <s v="ORDER00754"/>
        <s v="ORDER00755"/>
        <s v="ORDER00756"/>
        <s v="ORDER00757"/>
        <s v="ORDER00758"/>
        <s v="ORDER00759"/>
        <s v="ORDER00760"/>
        <s v="ORDER00761"/>
        <s v="ORDER00762"/>
        <s v="ORDER00763"/>
        <s v="ORDER00764"/>
        <s v="ORDER00765"/>
        <s v="ORDER00766"/>
        <s v="ORDER00767"/>
        <s v="ORDER00768"/>
        <s v="ORDER00769"/>
        <s v="ORDER00770"/>
        <s v="ORDER00771"/>
        <s v="ORDER00772"/>
        <s v="ORDER00773"/>
        <s v="ORDER00774"/>
        <s v="ORDER00775"/>
        <s v="ORDER00776"/>
        <s v="ORDER00777"/>
        <s v="ORDER00778"/>
        <s v="ORDER00779"/>
        <s v="ORDER00780"/>
        <s v="ORDER00781"/>
        <s v="ORDER00782"/>
        <s v="ORDER00783"/>
        <s v="ORDER00784"/>
        <s v="ORDER00785"/>
        <s v="ORDER00786"/>
        <s v="ORDER00787"/>
        <s v="ORDER00788"/>
        <s v="ORDER00789"/>
        <s v="ORDER00790"/>
        <s v="ORDER00791"/>
        <s v="ORDER00792"/>
        <s v="ORDER00793"/>
        <s v="ORDER00794"/>
        <s v="ORDER00795"/>
        <s v="ORDER00796"/>
        <s v="ORDER00797"/>
        <s v="ORDER00798"/>
        <s v="ORDER00799"/>
        <s v="ORDER00800"/>
        <s v="ORDER00801"/>
        <s v="ORDER00802"/>
        <s v="ORDER00803"/>
        <s v="ORDER00804"/>
        <s v="ORDER00805"/>
        <s v="ORDER00806"/>
        <s v="ORDER00807"/>
        <s v="ORDER00808"/>
        <s v="ORDER00809"/>
        <s v="ORDER00810"/>
        <s v="ORDER00811"/>
        <s v="ORDER00812"/>
        <s v="ORDER00813"/>
        <s v="ORDER00814"/>
        <s v="ORDER00815"/>
        <s v="ORDER00816"/>
        <s v="ORDER00817"/>
        <s v="ORDER00818"/>
        <s v="ORDER00819"/>
        <s v="ORDER00820"/>
        <s v="ORDER00821"/>
        <s v="ORDER00822"/>
        <s v="ORDER00823"/>
        <s v="ORDER00824"/>
        <s v="ORDER00825"/>
        <s v="ORDER00826"/>
        <s v="ORDER00827"/>
        <s v="ORDER00828"/>
        <s v="ORDER00829"/>
        <s v="ORDER00830"/>
        <s v="ORDER00831"/>
        <s v="ORDER00832"/>
        <s v="ORDER00833"/>
        <s v="ORDER00834"/>
        <s v="ORDER00835"/>
        <s v="ORDER00836"/>
        <s v="ORDER00837"/>
        <s v="ORDER00838"/>
        <s v="ORDER00839"/>
        <s v="ORDER00840"/>
        <s v="ORDER00841"/>
        <s v="ORDER00842"/>
        <s v="ORDER00843"/>
        <s v="ORDER00844"/>
        <s v="ORDER00845"/>
        <s v="ORDER00846"/>
        <s v="ORDER00847"/>
        <s v="ORDER00848"/>
        <s v="ORDER00849"/>
        <s v="ORDER00850"/>
        <s v="ORDER00851"/>
        <s v="ORDER00852"/>
        <s v="ORDER00853"/>
        <s v="ORDER00854"/>
        <s v="ORDER00855"/>
        <s v="ORDER00856"/>
        <s v="ORDER00857"/>
        <s v="ORDER00858"/>
        <s v="ORDER00859"/>
        <s v="ORDER00860"/>
        <s v="ORDER00861"/>
        <s v="ORDER00862"/>
        <s v="ORDER00863"/>
        <s v="ORDER00864"/>
        <s v="ORDER00865"/>
        <s v="ORDER00866"/>
        <s v="ORDER00867"/>
        <s v="ORDER00868"/>
        <s v="ORDER00869"/>
        <s v="ORDER00870"/>
        <s v="ORDER00871"/>
        <s v="ORDER00872"/>
        <s v="ORDER00873"/>
        <s v="ORDER00874"/>
        <s v="ORDER00875"/>
        <s v="ORDER00876"/>
        <s v="ORDER00877"/>
        <s v="ORDER00878"/>
        <s v="ORDER00879"/>
        <s v="ORDER00880"/>
        <s v="ORDER00881"/>
        <s v="ORDER00882"/>
        <s v="ORDER00883"/>
        <s v="ORDER00884"/>
        <s v="ORDER00885"/>
        <s v="ORDER00886"/>
        <s v="ORDER00887"/>
        <s v="ORDER00888"/>
        <s v="ORDER00889"/>
        <s v="ORDER00890"/>
        <s v="ORDER00891"/>
        <s v="ORDER00892"/>
        <s v="ORDER00893"/>
        <s v="ORDER00894"/>
        <s v="ORDER00895"/>
        <s v="ORDER00896"/>
        <s v="ORDER00897"/>
        <s v="ORDER00898"/>
        <s v="ORDER00899"/>
        <s v="ORDER00900"/>
        <s v="ORDER00901"/>
        <s v="ORDER00902"/>
        <s v="ORDER00903"/>
        <s v="ORDER00904"/>
        <s v="ORDER00905"/>
        <s v="ORDER00906"/>
        <s v="ORDER00907"/>
        <s v="ORDER00908"/>
        <s v="ORDER00909"/>
        <s v="ORDER00910"/>
        <s v="ORDER00911"/>
        <s v="ORDER00912"/>
        <s v="ORDER00913"/>
        <s v="ORDER00914"/>
        <s v="ORDER00915"/>
        <s v="ORDER00916"/>
        <s v="ORDER00917"/>
        <s v="ORDER00918"/>
        <s v="ORDER00919"/>
        <s v="ORDER00920"/>
        <s v="ORDER00921"/>
        <s v="ORDER00922"/>
        <s v="ORDER00923"/>
        <s v="ORDER00924"/>
        <s v="ORDER00925"/>
        <s v="ORDER00926"/>
        <s v="ORDER00927"/>
        <s v="ORDER00928"/>
        <s v="ORDER00929"/>
        <s v="ORDER00930"/>
        <s v="ORDER00931"/>
        <s v="ORDER00932"/>
        <s v="ORDER00933"/>
        <s v="ORDER00934"/>
        <s v="ORDER00935"/>
        <s v="ORDER00936"/>
        <s v="ORDER00937"/>
        <s v="ORDER00938"/>
        <s v="ORDER00939"/>
        <s v="ORDER00940"/>
        <s v="ORDER00941"/>
        <s v="ORDER00942"/>
        <s v="ORDER00943"/>
        <s v="ORDER00944"/>
        <s v="ORDER00945"/>
        <s v="ORDER00946"/>
        <s v="ORDER00947"/>
        <s v="ORDER00948"/>
        <s v="ORDER00949"/>
        <s v="ORDER00950"/>
        <s v="ORDER00951"/>
        <s v="ORDER00952"/>
        <s v="ORDER00953"/>
        <s v="ORDER00954"/>
        <s v="ORDER00955"/>
        <s v="ORDER00956"/>
        <s v="ORDER00957"/>
        <s v="ORDER00958"/>
        <s v="ORDER00959"/>
        <s v="ORDER00960"/>
        <s v="ORDER00961"/>
        <s v="ORDER00962"/>
        <s v="ORDER00963"/>
        <s v="ORDER00964"/>
        <s v="ORDER00965"/>
        <s v="ORDER00966"/>
        <s v="ORDER00967"/>
        <s v="ORDER00968"/>
        <s v="ORDER00969"/>
        <s v="ORDER00970"/>
        <s v="ORDER00971"/>
        <s v="ORDER00972"/>
        <s v="ORDER00973"/>
        <s v="ORDER00974"/>
        <s v="ORDER00975"/>
        <s v="ORDER00976"/>
        <s v="ORDER00977"/>
        <s v="ORDER00978"/>
        <s v="ORDER00979"/>
        <s v="ORDER00980"/>
        <s v="ORDER00981"/>
        <s v="ORDER00982"/>
        <s v="ORDER00983"/>
        <s v="ORDER00984"/>
        <s v="ORDER00985"/>
        <s v="ORDER00986"/>
        <s v="ORDER00987"/>
        <s v="ORDER00988"/>
        <s v="ORDER00989"/>
        <s v="ORDER00990"/>
        <s v="ORDER00991"/>
        <s v="ORDER00992"/>
        <s v="ORDER00993"/>
        <s v="ORDER00994"/>
        <s v="ORDER00995"/>
        <s v="ORDER00996"/>
        <s v="ORDER00997"/>
        <s v="ORDER00998"/>
        <s v="ORDER00999"/>
        <s v="ORDER01000"/>
      </sharedItems>
    </cacheField>
    <cacheField name="customer_id" numFmtId="0">
      <sharedItems count="245">
        <s v="CUST0225"/>
        <s v="CUST0224"/>
        <s v="CUST0209"/>
        <s v="CUST0138"/>
        <s v="CUST0106"/>
        <s v="CUST0150"/>
        <s v="CUST0234"/>
        <s v="CUST0223"/>
        <s v="CUST0204"/>
        <s v="CUST0036"/>
        <s v="CUST0034"/>
        <s v="CUST0097"/>
        <s v="CUST0066"/>
        <s v="CUST0049"/>
        <s v="CUST0170"/>
        <s v="CUST0179"/>
        <s v="CUST0050"/>
        <s v="CUST0090"/>
        <s v="CUST0116"/>
        <s v="CUST0010"/>
        <s v="CUST0164"/>
        <s v="CUST0136"/>
        <s v="CUST0216"/>
        <s v="CUST0023"/>
        <s v="CUST0091"/>
        <s v="CUST0037"/>
        <s v="CUST0181"/>
        <s v="CUST0210"/>
        <s v="CUST0006"/>
        <s v="CUST0214"/>
        <s v="CUST0222"/>
        <s v="CUST0112"/>
        <s v="CUST0207"/>
        <s v="CUST0062"/>
        <s v="CUST0231"/>
        <s v="CUST0236"/>
        <s v="CUST0144"/>
        <s v="CUST0246"/>
        <s v="CUST0249"/>
        <s v="CUST0146"/>
        <s v="CUST0080"/>
        <s v="CUST0243"/>
        <s v="CUST0227"/>
        <s v="CUST0121"/>
        <s v="CUST0011"/>
        <s v="CUST0145"/>
        <s v="CUST0002"/>
        <s v="CUST0119"/>
        <s v="CUST0250"/>
        <s v="CUST0173"/>
        <s v="CUST0100"/>
        <s v="CUST0070"/>
        <s v="CUST0226"/>
        <s v="CUST0048"/>
        <s v="CUST0242"/>
        <s v="CUST0129"/>
        <s v="CUST0122"/>
        <s v="CUST0007"/>
        <s v="CUST0237"/>
        <s v="CUST0102"/>
        <s v="CUST0168"/>
        <s v="CUST0079"/>
        <s v="CUST0075"/>
        <s v="CUST0081"/>
        <s v="CUST0219"/>
        <s v="CUST0154"/>
        <s v="CUST0193"/>
        <s v="CUST0240"/>
        <s v="CUST0123"/>
        <s v="CUST0041"/>
        <s v="CUST0149"/>
        <s v="CUST0190"/>
        <s v="CUST0004"/>
        <s v="CUST0178"/>
        <s v="CUST0096"/>
        <s v="CUST0067"/>
        <s v="CUST0045"/>
        <s v="CUST0008"/>
        <s v="CUST0099"/>
        <s v="CUST0185"/>
        <s v="CUST0009"/>
        <s v="CUST0201"/>
        <s v="CUST0093"/>
        <s v="CUST0206"/>
        <s v="CUST0029"/>
        <s v="CUST0077"/>
        <s v="CUST0052"/>
        <s v="CUST0217"/>
        <s v="CUST0109"/>
        <s v="CUST0208"/>
        <s v="CUST0199"/>
        <s v="CUST0183"/>
        <s v="CUST0028"/>
        <s v="CUST0245"/>
        <s v="CUST0166"/>
        <s v="CUST0111"/>
        <s v="CUST0016"/>
        <s v="CUST0233"/>
        <s v="CUST0184"/>
        <s v="CUST0132"/>
        <s v="CUST0086"/>
        <s v="CUST0073"/>
        <s v="CUST0003"/>
        <s v="CUST0171"/>
        <s v="CUST0230"/>
        <s v="CUST0063"/>
        <s v="CUST0194"/>
        <s v="CUST0053"/>
        <s v="CUST0087"/>
        <s v="CUST0161"/>
        <s v="CUST0071"/>
        <s v="CUST0232"/>
        <s v="CUST0142"/>
        <s v="CUST0196"/>
        <s v="CUST0018"/>
        <s v="CUST0098"/>
        <s v="CUST0113"/>
        <s v="CUST0175"/>
        <s v="CUST0017"/>
        <s v="CUST0032"/>
        <s v="CUST0072"/>
        <s v="CUST0202"/>
        <s v="CUST0218"/>
        <s v="CUST0047"/>
        <s v="CUST0068"/>
        <s v="CUST0238"/>
        <s v="CUST0039"/>
        <s v="CUST0153"/>
        <s v="CUST0043"/>
        <s v="CUST0182"/>
        <s v="CUST0211"/>
        <s v="CUST0044"/>
        <s v="CUST0157"/>
        <s v="CUST0172"/>
        <s v="CUST0205"/>
        <s v="CUST0103"/>
        <s v="CUST0078"/>
        <s v="CUST0027"/>
        <s v="CUST0056"/>
        <s v="CUST0241"/>
        <s v="CUST0001"/>
        <s v="CUST0197"/>
        <s v="CUST0180"/>
        <s v="CUST0167"/>
        <s v="CUST0174"/>
        <s v="CUST0014"/>
        <s v="CUST0057"/>
        <s v="CUST0065"/>
        <s v="CUST0135"/>
        <s v="CUST0115"/>
        <s v="CUST0141"/>
        <s v="CUST0013"/>
        <s v="CUST0221"/>
        <s v="CUST0082"/>
        <s v="CUST0156"/>
        <s v="CUST0152"/>
        <s v="CUST0064"/>
        <s v="CUST0026"/>
        <s v="CUST0215"/>
        <s v="CUST0042"/>
        <s v="CUST0200"/>
        <s v="CUST0229"/>
        <s v="CUST0159"/>
        <s v="CUST0038"/>
        <s v="CUST0125"/>
        <s v="CUST0124"/>
        <s v="CUST0133"/>
        <s v="CUST0055"/>
        <s v="CUST0191"/>
        <s v="CUST0127"/>
        <s v="CUST0108"/>
        <s v="CUST0248"/>
        <s v="CUST0031"/>
        <s v="CUST0148"/>
        <s v="CUST0195"/>
        <s v="CUST0030"/>
        <s v="CUST0058"/>
        <s v="CUST0128"/>
        <s v="CUST0176"/>
        <s v="CUST0046"/>
        <s v="CUST0088"/>
        <s v="CUST0035"/>
        <s v="CUST0110"/>
        <s v="CUST0143"/>
        <s v="CUST0051"/>
        <s v="CUST0203"/>
        <s v="CUST0105"/>
        <s v="CUST0147"/>
        <s v="CUST0015"/>
        <s v="CUST0131"/>
        <s v="CUST0021"/>
        <s v="CUST0162"/>
        <s v="CUST0165"/>
        <s v="CUST0189"/>
        <s v="CUST0089"/>
        <s v="CUST0059"/>
        <s v="CUST0198"/>
        <s v="CUST0107"/>
        <s v="CUST0069"/>
        <s v="CUST0188"/>
        <s v="CUST0117"/>
        <s v="CUST0025"/>
        <s v="CUST0084"/>
        <s v="CUST0186"/>
        <s v="CUST0228"/>
        <s v="CUST0040"/>
        <s v="CUST0192"/>
        <s v="CUST0212"/>
        <s v="CUST0022"/>
        <s v="CUST0239"/>
        <s v="CUST0220"/>
        <s v="CUST0158"/>
        <s v="CUST0163"/>
        <s v="CUST0074"/>
        <s v="CUST0076"/>
        <s v="CUST0005"/>
        <s v="CUST0140"/>
        <s v="CUST0151"/>
        <s v="CUST0060"/>
        <s v="CUST0247"/>
        <s v="CUST0120"/>
        <s v="CUST0187"/>
        <s v="CUST0177"/>
        <s v="CUST0095"/>
        <s v="CUST0137"/>
        <s v="CUST0085"/>
        <s v="CUST0020"/>
        <s v="CUST0101"/>
        <s v="CUST0169"/>
        <s v="CUST0104"/>
        <s v="CUST0130"/>
        <s v="CUST0213"/>
        <s v="CUST0054"/>
        <s v="CUST0012"/>
        <s v="CUST0094"/>
        <s v="CUST0235"/>
        <s v="CUST0024"/>
        <s v="CUST0019"/>
        <s v="CUST0160"/>
        <s v="CUST0244"/>
        <s v="CUST0061"/>
        <s v="CUST0092"/>
        <s v="CUST0139"/>
        <s v="CUST0083"/>
        <s v="CUST0033"/>
      </sharedItems>
    </cacheField>
    <cacheField name="order_date" numFmtId="14">
      <sharedItems containsSemiMixedTypes="0" containsNonDate="0" containsDate="1" containsString="0" minDate="2024-01-01T00:00:00" maxDate="2025-12-31T00:00:00"/>
    </cacheField>
    <cacheField name="product_type" numFmtId="0">
      <sharedItems/>
    </cacheField>
    <cacheField name="order_value" numFmtId="2">
      <sharedItems containsSemiMixedTypes="0" containsString="0" containsNumber="1" minValue="51.36" maxValue="9992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n Wójtowicz" refreshedDate="46032.593784027777" createdVersion="8" refreshedVersion="8" minRefreshableVersion="3" recordCount="245" xr:uid="{C50F9558-25C4-4B1B-B879-2BD13A33B460}">
  <cacheSource type="worksheet">
    <worksheetSource ref="A1:I246" sheet="RFM_Score"/>
  </cacheSource>
  <cacheFields count="9">
    <cacheField name="Customer_ID" numFmtId="0">
      <sharedItems/>
    </cacheField>
    <cacheField name="Recency" numFmtId="1">
      <sharedItems containsSemiMixedTypes="0" containsString="0" containsNumber="1" containsInteger="1" minValue="11" maxValue="671"/>
    </cacheField>
    <cacheField name="Frequency" numFmtId="1">
      <sharedItems containsSemiMixedTypes="0" containsString="0" containsNumber="1" containsInteger="1" minValue="1" maxValue="12"/>
    </cacheField>
    <cacheField name="Monetary" numFmtId="2">
      <sharedItems containsSemiMixedTypes="0" containsString="0" containsNumber="1" minValue="567.35" maxValue="63453.25"/>
    </cacheField>
    <cacheField name="R_Score (Recency)" numFmtId="0">
      <sharedItems containsSemiMixedTypes="0" containsString="0" containsNumber="1" containsInteger="1" minValue="1" maxValue="5"/>
    </cacheField>
    <cacheField name="F_Score (Frequency)" numFmtId="0">
      <sharedItems containsSemiMixedTypes="0" containsString="0" containsNumber="1" containsInteger="1" minValue="1" maxValue="5"/>
    </cacheField>
    <cacheField name="M_Score (Monetary)" numFmtId="0">
      <sharedItems containsSemiMixedTypes="0" containsString="0" containsNumber="1" containsInteger="1" minValue="1" maxValue="5"/>
    </cacheField>
    <cacheField name="RFM_Score" numFmtId="0">
      <sharedItems containsSemiMixedTypes="0" containsString="0" containsNumber="1" containsInteger="1" minValue="3" maxValue="15"/>
    </cacheField>
    <cacheField name="RFM_Category" numFmtId="0">
      <sharedItems count="5">
        <s v="Loyal Customers"/>
        <s v="Potential Loyal Customers"/>
        <s v="Best Customers"/>
        <s v="At Risk"/>
        <s v="Need Atten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d v="2024-05-22T00:00:00"/>
    <s v="Glass Tile"/>
    <n v="9855.65"/>
  </r>
  <r>
    <x v="1"/>
    <x v="1"/>
    <d v="2025-12-16T00:00:00"/>
    <s v="Vinyl Tile"/>
    <n v="2969.12"/>
  </r>
  <r>
    <x v="2"/>
    <x v="2"/>
    <d v="2025-04-02T00:00:00"/>
    <s v="Marble Tile"/>
    <n v="1480.43"/>
  </r>
  <r>
    <x v="3"/>
    <x v="3"/>
    <d v="2024-03-11T00:00:00"/>
    <s v="Porcelain Tile"/>
    <n v="2252.12"/>
  </r>
  <r>
    <x v="4"/>
    <x v="4"/>
    <d v="2025-06-21T00:00:00"/>
    <s v="Glass Tile"/>
    <n v="519.54999999999995"/>
  </r>
  <r>
    <x v="5"/>
    <x v="5"/>
    <d v="2025-04-02T00:00:00"/>
    <s v="Marble Tile"/>
    <n v="1806.86"/>
  </r>
  <r>
    <x v="6"/>
    <x v="6"/>
    <d v="2024-02-18T00:00:00"/>
    <s v="Vinyl Tile"/>
    <n v="1060.79"/>
  </r>
  <r>
    <x v="7"/>
    <x v="7"/>
    <d v="2024-08-19T00:00:00"/>
    <s v="Vinyl Tile"/>
    <n v="1170.32"/>
  </r>
  <r>
    <x v="8"/>
    <x v="8"/>
    <d v="2024-06-21T00:00:00"/>
    <s v="Mosaic Tile"/>
    <n v="6402.99"/>
  </r>
  <r>
    <x v="9"/>
    <x v="9"/>
    <d v="2025-03-03T00:00:00"/>
    <s v="Glass Tile"/>
    <n v="1078.73"/>
  </r>
  <r>
    <x v="10"/>
    <x v="10"/>
    <d v="2024-01-10T00:00:00"/>
    <s v="Vinyl Tile"/>
    <n v="7906.53"/>
  </r>
  <r>
    <x v="11"/>
    <x v="11"/>
    <d v="2025-09-25T00:00:00"/>
    <s v="Ceramic Tile"/>
    <n v="7747.17"/>
  </r>
  <r>
    <x v="12"/>
    <x v="12"/>
    <d v="2024-06-26T00:00:00"/>
    <s v="Glass Tile"/>
    <n v="4516.57"/>
  </r>
  <r>
    <x v="13"/>
    <x v="13"/>
    <d v="2024-12-19T00:00:00"/>
    <s v="Ceramic Tile"/>
    <n v="7575.95"/>
  </r>
  <r>
    <x v="14"/>
    <x v="14"/>
    <d v="2025-04-20T00:00:00"/>
    <s v="Marble Tile"/>
    <n v="7335.42"/>
  </r>
  <r>
    <x v="15"/>
    <x v="15"/>
    <d v="2025-02-28T00:00:00"/>
    <s v="Marble Tile"/>
    <n v="3929.63"/>
  </r>
  <r>
    <x v="16"/>
    <x v="16"/>
    <d v="2024-03-10T00:00:00"/>
    <s v="Porcelain Tile"/>
    <n v="362.93"/>
  </r>
  <r>
    <x v="17"/>
    <x v="17"/>
    <d v="2024-03-26T00:00:00"/>
    <s v="Ceramic Tile"/>
    <n v="1514.05"/>
  </r>
  <r>
    <x v="18"/>
    <x v="18"/>
    <d v="2024-06-07T00:00:00"/>
    <s v="Ceramic Tile"/>
    <n v="2912.28"/>
  </r>
  <r>
    <x v="19"/>
    <x v="19"/>
    <d v="2025-05-19T00:00:00"/>
    <s v="Vinyl Tile"/>
    <n v="9723.51"/>
  </r>
  <r>
    <x v="20"/>
    <x v="20"/>
    <d v="2025-02-25T00:00:00"/>
    <s v="Mosaic Tile"/>
    <n v="9110.99"/>
  </r>
  <r>
    <x v="21"/>
    <x v="21"/>
    <d v="2024-07-12T00:00:00"/>
    <s v="Porcelain Tile"/>
    <n v="9663.5"/>
  </r>
  <r>
    <x v="22"/>
    <x v="22"/>
    <d v="2024-04-30T00:00:00"/>
    <s v="Marble Tile"/>
    <n v="375.3"/>
  </r>
  <r>
    <x v="23"/>
    <x v="23"/>
    <d v="2024-06-15T00:00:00"/>
    <s v="Porcelain Tile"/>
    <n v="7234.69"/>
  </r>
  <r>
    <x v="24"/>
    <x v="24"/>
    <d v="2024-03-14T00:00:00"/>
    <s v="Vinyl Tile"/>
    <n v="9402.56"/>
  </r>
  <r>
    <x v="25"/>
    <x v="25"/>
    <d v="2025-07-17T00:00:00"/>
    <s v="Granite Tile"/>
    <n v="5141.6400000000003"/>
  </r>
  <r>
    <x v="26"/>
    <x v="26"/>
    <d v="2025-08-02T00:00:00"/>
    <s v="Ceramic Tile"/>
    <n v="511.7"/>
  </r>
  <r>
    <x v="27"/>
    <x v="27"/>
    <d v="2025-07-10T00:00:00"/>
    <s v="Terracotta Tile"/>
    <n v="1656.42"/>
  </r>
  <r>
    <x v="28"/>
    <x v="28"/>
    <d v="2025-04-06T00:00:00"/>
    <s v="Porcelain Tile"/>
    <n v="2531.89"/>
  </r>
  <r>
    <x v="29"/>
    <x v="29"/>
    <d v="2024-11-10T00:00:00"/>
    <s v="Mosaic Tile"/>
    <n v="3181.59"/>
  </r>
  <r>
    <x v="30"/>
    <x v="30"/>
    <d v="2025-08-24T00:00:00"/>
    <s v="Vinyl Tile"/>
    <n v="8948.15"/>
  </r>
  <r>
    <x v="31"/>
    <x v="31"/>
    <d v="2024-09-16T00:00:00"/>
    <s v="Granite Tile"/>
    <n v="4118.91"/>
  </r>
  <r>
    <x v="32"/>
    <x v="32"/>
    <d v="2025-04-25T00:00:00"/>
    <s v="Glass Tile"/>
    <n v="1088.22"/>
  </r>
  <r>
    <x v="33"/>
    <x v="33"/>
    <d v="2025-03-20T00:00:00"/>
    <s v="Mosaic Tile"/>
    <n v="7399.39"/>
  </r>
  <r>
    <x v="34"/>
    <x v="25"/>
    <d v="2024-02-14T00:00:00"/>
    <s v="Vinyl Tile"/>
    <n v="2922.01"/>
  </r>
  <r>
    <x v="35"/>
    <x v="34"/>
    <d v="2025-07-25T00:00:00"/>
    <s v="Ceramic Tile"/>
    <n v="7125.24"/>
  </r>
  <r>
    <x v="36"/>
    <x v="35"/>
    <d v="2025-04-27T00:00:00"/>
    <s v="Mosaic Tile"/>
    <n v="3030.87"/>
  </r>
  <r>
    <x v="37"/>
    <x v="36"/>
    <d v="2024-02-11T00:00:00"/>
    <s v="Marble Tile"/>
    <n v="1747.87"/>
  </r>
  <r>
    <x v="38"/>
    <x v="2"/>
    <d v="2025-12-21T00:00:00"/>
    <s v="Glass Tile"/>
    <n v="9489.9599999999991"/>
  </r>
  <r>
    <x v="39"/>
    <x v="37"/>
    <d v="2025-11-28T00:00:00"/>
    <s v="Ceramic Tile"/>
    <n v="6171.81"/>
  </r>
  <r>
    <x v="40"/>
    <x v="38"/>
    <d v="2024-08-19T00:00:00"/>
    <s v="Glass Tile"/>
    <n v="2594.4299999999998"/>
  </r>
  <r>
    <x v="41"/>
    <x v="39"/>
    <d v="2025-07-09T00:00:00"/>
    <s v="Mosaic Tile"/>
    <n v="4876.21"/>
  </r>
  <r>
    <x v="42"/>
    <x v="40"/>
    <d v="2025-07-29T00:00:00"/>
    <s v="Porcelain Tile"/>
    <n v="7869.8"/>
  </r>
  <r>
    <x v="43"/>
    <x v="41"/>
    <d v="2024-05-12T00:00:00"/>
    <s v="Ceramic Tile"/>
    <n v="4329.34"/>
  </r>
  <r>
    <x v="44"/>
    <x v="42"/>
    <d v="2024-12-26T00:00:00"/>
    <s v="Vinyl Tile"/>
    <n v="4030.11"/>
  </r>
  <r>
    <x v="45"/>
    <x v="43"/>
    <d v="2025-04-30T00:00:00"/>
    <s v="Mosaic Tile"/>
    <n v="3385.45"/>
  </r>
  <r>
    <x v="46"/>
    <x v="44"/>
    <d v="2024-11-03T00:00:00"/>
    <s v="Ceramic Tile"/>
    <n v="7795.91"/>
  </r>
  <r>
    <x v="47"/>
    <x v="45"/>
    <d v="2024-02-05T00:00:00"/>
    <s v="Mosaic Tile"/>
    <n v="1731.24"/>
  </r>
  <r>
    <x v="48"/>
    <x v="46"/>
    <d v="2024-05-05T00:00:00"/>
    <s v="Vinyl Tile"/>
    <n v="8159.08"/>
  </r>
  <r>
    <x v="49"/>
    <x v="47"/>
    <d v="2025-08-16T00:00:00"/>
    <s v="Terracotta Tile"/>
    <n v="6477.39"/>
  </r>
  <r>
    <x v="50"/>
    <x v="48"/>
    <d v="2024-03-02T00:00:00"/>
    <s v="Terracotta Tile"/>
    <n v="2552.0700000000002"/>
  </r>
  <r>
    <x v="51"/>
    <x v="49"/>
    <d v="2024-07-22T00:00:00"/>
    <s v="Ceramic Tile"/>
    <n v="885"/>
  </r>
  <r>
    <x v="52"/>
    <x v="50"/>
    <d v="2025-07-30T00:00:00"/>
    <s v="Marble Tile"/>
    <n v="6750.23"/>
  </r>
  <r>
    <x v="53"/>
    <x v="51"/>
    <d v="2025-03-23T00:00:00"/>
    <s v="Granite Tile"/>
    <n v="8466.84"/>
  </r>
  <r>
    <x v="54"/>
    <x v="52"/>
    <d v="2024-11-18T00:00:00"/>
    <s v="Vinyl Tile"/>
    <n v="806.05"/>
  </r>
  <r>
    <x v="55"/>
    <x v="53"/>
    <d v="2025-11-15T00:00:00"/>
    <s v="Ceramic Tile"/>
    <n v="1159.99"/>
  </r>
  <r>
    <x v="56"/>
    <x v="54"/>
    <d v="2024-05-04T00:00:00"/>
    <s v="Porcelain Tile"/>
    <n v="5950.85"/>
  </r>
  <r>
    <x v="57"/>
    <x v="9"/>
    <d v="2024-02-18T00:00:00"/>
    <s v="Glass Tile"/>
    <n v="1321.19"/>
  </r>
  <r>
    <x v="58"/>
    <x v="55"/>
    <d v="2025-07-29T00:00:00"/>
    <s v="Mosaic Tile"/>
    <n v="6331.92"/>
  </r>
  <r>
    <x v="59"/>
    <x v="56"/>
    <d v="2025-04-02T00:00:00"/>
    <s v="Porcelain Tile"/>
    <n v="3259.7"/>
  </r>
  <r>
    <x v="60"/>
    <x v="57"/>
    <d v="2024-03-22T00:00:00"/>
    <s v="Granite Tile"/>
    <n v="5812.21"/>
  </r>
  <r>
    <x v="61"/>
    <x v="58"/>
    <d v="2025-08-28T00:00:00"/>
    <s v="Vinyl Tile"/>
    <n v="6697.75"/>
  </r>
  <r>
    <x v="62"/>
    <x v="59"/>
    <d v="2025-01-11T00:00:00"/>
    <s v="Glass Tile"/>
    <n v="699.98"/>
  </r>
  <r>
    <x v="63"/>
    <x v="60"/>
    <d v="2024-12-13T00:00:00"/>
    <s v="Vinyl Tile"/>
    <n v="1267.8599999999999"/>
  </r>
  <r>
    <x v="64"/>
    <x v="6"/>
    <d v="2025-05-09T00:00:00"/>
    <s v="Porcelain Tile"/>
    <n v="9168.1"/>
  </r>
  <r>
    <x v="65"/>
    <x v="61"/>
    <d v="2024-07-17T00:00:00"/>
    <s v="Vinyl Tile"/>
    <n v="8633.85"/>
  </r>
  <r>
    <x v="66"/>
    <x v="62"/>
    <d v="2025-02-24T00:00:00"/>
    <s v="Granite Tile"/>
    <n v="9793.2099999999991"/>
  </r>
  <r>
    <x v="67"/>
    <x v="63"/>
    <d v="2024-11-01T00:00:00"/>
    <s v="Marble Tile"/>
    <n v="6540.63"/>
  </r>
  <r>
    <x v="68"/>
    <x v="64"/>
    <d v="2024-08-19T00:00:00"/>
    <s v="Glass Tile"/>
    <n v="2432.67"/>
  </r>
  <r>
    <x v="69"/>
    <x v="65"/>
    <d v="2024-12-25T00:00:00"/>
    <s v="Ceramic Tile"/>
    <n v="159.66999999999999"/>
  </r>
  <r>
    <x v="70"/>
    <x v="66"/>
    <d v="2024-01-27T00:00:00"/>
    <s v="Glass Tile"/>
    <n v="5284.93"/>
  </r>
  <r>
    <x v="71"/>
    <x v="67"/>
    <d v="2024-11-03T00:00:00"/>
    <s v="Granite Tile"/>
    <n v="4935.9399999999996"/>
  </r>
  <r>
    <x v="72"/>
    <x v="68"/>
    <d v="2025-12-02T00:00:00"/>
    <s v="Mosaic Tile"/>
    <n v="3903.42"/>
  </r>
  <r>
    <x v="73"/>
    <x v="69"/>
    <d v="2024-02-28T00:00:00"/>
    <s v="Glass Tile"/>
    <n v="269.5"/>
  </r>
  <r>
    <x v="74"/>
    <x v="70"/>
    <d v="2025-02-10T00:00:00"/>
    <s v="Mosaic Tile"/>
    <n v="7166.2"/>
  </r>
  <r>
    <x v="75"/>
    <x v="14"/>
    <d v="2025-10-22T00:00:00"/>
    <s v="Ceramic Tile"/>
    <n v="1964.74"/>
  </r>
  <r>
    <x v="76"/>
    <x v="32"/>
    <d v="2024-12-07T00:00:00"/>
    <s v="Ceramic Tile"/>
    <n v="6050.68"/>
  </r>
  <r>
    <x v="77"/>
    <x v="71"/>
    <d v="2025-09-11T00:00:00"/>
    <s v="Vinyl Tile"/>
    <n v="4050.01"/>
  </r>
  <r>
    <x v="78"/>
    <x v="72"/>
    <d v="2025-06-02T00:00:00"/>
    <s v="Marble Tile"/>
    <n v="7114.9"/>
  </r>
  <r>
    <x v="79"/>
    <x v="73"/>
    <d v="2024-11-09T00:00:00"/>
    <s v="Glass Tile"/>
    <n v="8699.0300000000007"/>
  </r>
  <r>
    <x v="80"/>
    <x v="74"/>
    <d v="2025-03-01T00:00:00"/>
    <s v="Ceramic Tile"/>
    <n v="1657.47"/>
  </r>
  <r>
    <x v="81"/>
    <x v="75"/>
    <d v="2025-04-23T00:00:00"/>
    <s v="Porcelain Tile"/>
    <n v="9585.5300000000007"/>
  </r>
  <r>
    <x v="82"/>
    <x v="76"/>
    <d v="2025-09-21T00:00:00"/>
    <s v="Granite Tile"/>
    <n v="5557.78"/>
  </r>
  <r>
    <x v="83"/>
    <x v="77"/>
    <d v="2024-08-09T00:00:00"/>
    <s v="Ceramic Tile"/>
    <n v="2868.99"/>
  </r>
  <r>
    <x v="84"/>
    <x v="78"/>
    <d v="2025-12-30T00:00:00"/>
    <s v="Terracotta Tile"/>
    <n v="5046.92"/>
  </r>
  <r>
    <x v="85"/>
    <x v="79"/>
    <d v="2024-10-29T00:00:00"/>
    <s v="Terracotta Tile"/>
    <n v="3257.73"/>
  </r>
  <r>
    <x v="86"/>
    <x v="76"/>
    <d v="2024-11-09T00:00:00"/>
    <s v="Vinyl Tile"/>
    <n v="882.57"/>
  </r>
  <r>
    <x v="87"/>
    <x v="80"/>
    <d v="2025-11-01T00:00:00"/>
    <s v="Vinyl Tile"/>
    <n v="9099.92"/>
  </r>
  <r>
    <x v="88"/>
    <x v="72"/>
    <d v="2025-10-30T00:00:00"/>
    <s v="Granite Tile"/>
    <n v="2978.95"/>
  </r>
  <r>
    <x v="89"/>
    <x v="57"/>
    <d v="2024-10-05T00:00:00"/>
    <s v="Mosaic Tile"/>
    <n v="3913.47"/>
  </r>
  <r>
    <x v="90"/>
    <x v="81"/>
    <d v="2024-01-31T00:00:00"/>
    <s v="Ceramic Tile"/>
    <n v="5082.63"/>
  </r>
  <r>
    <x v="91"/>
    <x v="82"/>
    <d v="2024-12-01T00:00:00"/>
    <s v="Glass Tile"/>
    <n v="8663.9"/>
  </r>
  <r>
    <x v="92"/>
    <x v="83"/>
    <d v="2024-09-02T00:00:00"/>
    <s v="Ceramic Tile"/>
    <n v="646.97"/>
  </r>
  <r>
    <x v="93"/>
    <x v="84"/>
    <d v="2024-06-06T00:00:00"/>
    <s v="Mosaic Tile"/>
    <n v="1935.17"/>
  </r>
  <r>
    <x v="94"/>
    <x v="85"/>
    <d v="2025-02-27T00:00:00"/>
    <s v="Marble Tile"/>
    <n v="3241.92"/>
  </r>
  <r>
    <x v="95"/>
    <x v="49"/>
    <d v="2024-12-21T00:00:00"/>
    <s v="Ceramic Tile"/>
    <n v="2960.4"/>
  </r>
  <r>
    <x v="96"/>
    <x v="86"/>
    <d v="2024-08-15T00:00:00"/>
    <s v="Marble Tile"/>
    <n v="9940.9699999999993"/>
  </r>
  <r>
    <x v="97"/>
    <x v="87"/>
    <d v="2025-04-26T00:00:00"/>
    <s v="Terracotta Tile"/>
    <n v="2057.06"/>
  </r>
  <r>
    <x v="98"/>
    <x v="13"/>
    <d v="2025-03-11T00:00:00"/>
    <s v="Vinyl Tile"/>
    <n v="2131.1"/>
  </r>
  <r>
    <x v="99"/>
    <x v="88"/>
    <d v="2025-09-15T00:00:00"/>
    <s v="Marble Tile"/>
    <n v="5424.48"/>
  </r>
  <r>
    <x v="100"/>
    <x v="89"/>
    <d v="2025-03-18T00:00:00"/>
    <s v="Ceramic Tile"/>
    <n v="8270.56"/>
  </r>
  <r>
    <x v="101"/>
    <x v="90"/>
    <d v="2024-08-04T00:00:00"/>
    <s v="Ceramic Tile"/>
    <n v="2937.27"/>
  </r>
  <r>
    <x v="102"/>
    <x v="91"/>
    <d v="2024-07-25T00:00:00"/>
    <s v="Glass Tile"/>
    <n v="8500.69"/>
  </r>
  <r>
    <x v="103"/>
    <x v="92"/>
    <d v="2025-10-15T00:00:00"/>
    <s v="Marble Tile"/>
    <n v="5478.52"/>
  </r>
  <r>
    <x v="104"/>
    <x v="75"/>
    <d v="2025-02-20T00:00:00"/>
    <s v="Granite Tile"/>
    <n v="9411.68"/>
  </r>
  <r>
    <x v="105"/>
    <x v="10"/>
    <d v="2025-10-12T00:00:00"/>
    <s v="Mosaic Tile"/>
    <n v="7900.37"/>
  </r>
  <r>
    <x v="106"/>
    <x v="56"/>
    <d v="2024-05-31T00:00:00"/>
    <s v="Porcelain Tile"/>
    <n v="7843.83"/>
  </r>
  <r>
    <x v="107"/>
    <x v="93"/>
    <d v="2025-06-01T00:00:00"/>
    <s v="Terracotta Tile"/>
    <n v="3394.28"/>
  </r>
  <r>
    <x v="108"/>
    <x v="94"/>
    <d v="2025-09-20T00:00:00"/>
    <s v="Ceramic Tile"/>
    <n v="3080.86"/>
  </r>
  <r>
    <x v="109"/>
    <x v="95"/>
    <d v="2025-12-29T00:00:00"/>
    <s v="Vinyl Tile"/>
    <n v="8872.4699999999993"/>
  </r>
  <r>
    <x v="110"/>
    <x v="55"/>
    <d v="2024-03-11T00:00:00"/>
    <s v="Mosaic Tile"/>
    <n v="1806.25"/>
  </r>
  <r>
    <x v="111"/>
    <x v="81"/>
    <d v="2024-11-05T00:00:00"/>
    <s v="Porcelain Tile"/>
    <n v="2505.6999999999998"/>
  </r>
  <r>
    <x v="112"/>
    <x v="42"/>
    <d v="2024-05-08T00:00:00"/>
    <s v="Mosaic Tile"/>
    <n v="1210.3800000000001"/>
  </r>
  <r>
    <x v="113"/>
    <x v="35"/>
    <d v="2024-05-05T00:00:00"/>
    <s v="Vinyl Tile"/>
    <n v="2331.6999999999998"/>
  </r>
  <r>
    <x v="114"/>
    <x v="96"/>
    <d v="2024-03-21T00:00:00"/>
    <s v="Terracotta Tile"/>
    <n v="2811.92"/>
  </r>
  <r>
    <x v="115"/>
    <x v="97"/>
    <d v="2025-12-25T00:00:00"/>
    <s v="Mosaic Tile"/>
    <n v="7019.18"/>
  </r>
  <r>
    <x v="116"/>
    <x v="9"/>
    <d v="2025-01-26T00:00:00"/>
    <s v="Marble Tile"/>
    <n v="8284.68"/>
  </r>
  <r>
    <x v="117"/>
    <x v="28"/>
    <d v="2025-02-15T00:00:00"/>
    <s v="Ceramic Tile"/>
    <n v="4749.82"/>
  </r>
  <r>
    <x v="118"/>
    <x v="0"/>
    <d v="2024-03-07T00:00:00"/>
    <s v="Granite Tile"/>
    <n v="3698.05"/>
  </r>
  <r>
    <x v="119"/>
    <x v="98"/>
    <d v="2024-03-03T00:00:00"/>
    <s v="Terracotta Tile"/>
    <n v="1264.3499999999999"/>
  </r>
  <r>
    <x v="120"/>
    <x v="99"/>
    <d v="2024-04-05T00:00:00"/>
    <s v="Porcelain Tile"/>
    <n v="6305.71"/>
  </r>
  <r>
    <x v="121"/>
    <x v="100"/>
    <d v="2024-12-25T00:00:00"/>
    <s v="Granite Tile"/>
    <n v="9831.26"/>
  </r>
  <r>
    <x v="122"/>
    <x v="87"/>
    <d v="2024-01-03T00:00:00"/>
    <s v="Glass Tile"/>
    <n v="3907.43"/>
  </r>
  <r>
    <x v="123"/>
    <x v="101"/>
    <d v="2024-01-03T00:00:00"/>
    <s v="Porcelain Tile"/>
    <n v="4382.0600000000004"/>
  </r>
  <r>
    <x v="124"/>
    <x v="102"/>
    <d v="2025-06-03T00:00:00"/>
    <s v="Ceramic Tile"/>
    <n v="9855.61"/>
  </r>
  <r>
    <x v="125"/>
    <x v="103"/>
    <d v="2024-03-09T00:00:00"/>
    <s v="Vinyl Tile"/>
    <n v="8483.2999999999993"/>
  </r>
  <r>
    <x v="126"/>
    <x v="104"/>
    <d v="2025-04-20T00:00:00"/>
    <s v="Marble Tile"/>
    <n v="6157.53"/>
  </r>
  <r>
    <x v="127"/>
    <x v="104"/>
    <d v="2025-06-20T00:00:00"/>
    <s v="Mosaic Tile"/>
    <n v="9770.8700000000008"/>
  </r>
  <r>
    <x v="128"/>
    <x v="31"/>
    <d v="2025-03-09T00:00:00"/>
    <s v="Ceramic Tile"/>
    <n v="7214.8"/>
  </r>
  <r>
    <x v="129"/>
    <x v="105"/>
    <d v="2025-10-09T00:00:00"/>
    <s v="Granite Tile"/>
    <n v="2554.6799999999998"/>
  </r>
  <r>
    <x v="130"/>
    <x v="55"/>
    <d v="2025-08-27T00:00:00"/>
    <s v="Granite Tile"/>
    <n v="1516.18"/>
  </r>
  <r>
    <x v="131"/>
    <x v="106"/>
    <d v="2025-05-24T00:00:00"/>
    <s v="Mosaic Tile"/>
    <n v="3969.38"/>
  </r>
  <r>
    <x v="132"/>
    <x v="107"/>
    <d v="2025-10-06T00:00:00"/>
    <s v="Glass Tile"/>
    <n v="518.29"/>
  </r>
  <r>
    <x v="133"/>
    <x v="108"/>
    <d v="2024-02-12T00:00:00"/>
    <s v="Granite Tile"/>
    <n v="4340.68"/>
  </r>
  <r>
    <x v="134"/>
    <x v="66"/>
    <d v="2024-10-25T00:00:00"/>
    <s v="Granite Tile"/>
    <n v="6451.15"/>
  </r>
  <r>
    <x v="135"/>
    <x v="109"/>
    <d v="2025-02-11T00:00:00"/>
    <s v="Mosaic Tile"/>
    <n v="732.8"/>
  </r>
  <r>
    <x v="136"/>
    <x v="110"/>
    <d v="2025-12-07T00:00:00"/>
    <s v="Terracotta Tile"/>
    <n v="1578.87"/>
  </r>
  <r>
    <x v="137"/>
    <x v="111"/>
    <d v="2025-02-08T00:00:00"/>
    <s v="Vinyl Tile"/>
    <n v="8482.31"/>
  </r>
  <r>
    <x v="138"/>
    <x v="101"/>
    <d v="2025-02-05T00:00:00"/>
    <s v="Granite Tile"/>
    <n v="6181.52"/>
  </r>
  <r>
    <x v="139"/>
    <x v="3"/>
    <d v="2025-06-25T00:00:00"/>
    <s v="Vinyl Tile"/>
    <n v="96.79"/>
  </r>
  <r>
    <x v="140"/>
    <x v="112"/>
    <d v="2025-10-20T00:00:00"/>
    <s v="Glass Tile"/>
    <n v="2712.82"/>
  </r>
  <r>
    <x v="141"/>
    <x v="113"/>
    <d v="2025-03-19T00:00:00"/>
    <s v="Vinyl Tile"/>
    <n v="1295.9100000000001"/>
  </r>
  <r>
    <x v="142"/>
    <x v="114"/>
    <d v="2025-01-04T00:00:00"/>
    <s v="Terracotta Tile"/>
    <n v="5196.96"/>
  </r>
  <r>
    <x v="143"/>
    <x v="115"/>
    <d v="2025-06-09T00:00:00"/>
    <s v="Mosaic Tile"/>
    <n v="2574.54"/>
  </r>
  <r>
    <x v="144"/>
    <x v="78"/>
    <d v="2024-12-21T00:00:00"/>
    <s v="Glass Tile"/>
    <n v="6937.68"/>
  </r>
  <r>
    <x v="145"/>
    <x v="116"/>
    <d v="2025-07-20T00:00:00"/>
    <s v="Mosaic Tile"/>
    <n v="5812.64"/>
  </r>
  <r>
    <x v="146"/>
    <x v="117"/>
    <d v="2025-08-08T00:00:00"/>
    <s v="Terracotta Tile"/>
    <n v="6958.82"/>
  </r>
  <r>
    <x v="147"/>
    <x v="45"/>
    <d v="2025-02-13T00:00:00"/>
    <s v="Granite Tile"/>
    <n v="7953.52"/>
  </r>
  <r>
    <x v="148"/>
    <x v="118"/>
    <d v="2025-04-14T00:00:00"/>
    <s v="Ceramic Tile"/>
    <n v="5580.02"/>
  </r>
  <r>
    <x v="149"/>
    <x v="119"/>
    <d v="2025-08-25T00:00:00"/>
    <s v="Vinyl Tile"/>
    <n v="6275.71"/>
  </r>
  <r>
    <x v="150"/>
    <x v="120"/>
    <d v="2024-11-13T00:00:00"/>
    <s v="Terracotta Tile"/>
    <n v="8213.85"/>
  </r>
  <r>
    <x v="151"/>
    <x v="121"/>
    <d v="2024-08-22T00:00:00"/>
    <s v="Ceramic Tile"/>
    <n v="7062.59"/>
  </r>
  <r>
    <x v="152"/>
    <x v="78"/>
    <d v="2025-05-17T00:00:00"/>
    <s v="Marble Tile"/>
    <n v="5193.01"/>
  </r>
  <r>
    <x v="153"/>
    <x v="73"/>
    <d v="2024-11-20T00:00:00"/>
    <s v="Porcelain Tile"/>
    <n v="3941.9"/>
  </r>
  <r>
    <x v="154"/>
    <x v="66"/>
    <d v="2024-05-04T00:00:00"/>
    <s v="Porcelain Tile"/>
    <n v="1405.59"/>
  </r>
  <r>
    <x v="155"/>
    <x v="122"/>
    <d v="2025-07-15T00:00:00"/>
    <s v="Porcelain Tile"/>
    <n v="3673.68"/>
  </r>
  <r>
    <x v="156"/>
    <x v="123"/>
    <d v="2024-09-08T00:00:00"/>
    <s v="Porcelain Tile"/>
    <n v="2099.42"/>
  </r>
  <r>
    <x v="157"/>
    <x v="106"/>
    <d v="2025-04-11T00:00:00"/>
    <s v="Mosaic Tile"/>
    <n v="1822.53"/>
  </r>
  <r>
    <x v="158"/>
    <x v="75"/>
    <d v="2024-06-24T00:00:00"/>
    <s v="Marble Tile"/>
    <n v="837.08"/>
  </r>
  <r>
    <x v="159"/>
    <x v="80"/>
    <d v="2025-11-11T00:00:00"/>
    <s v="Mosaic Tile"/>
    <n v="5287.47"/>
  </r>
  <r>
    <x v="160"/>
    <x v="46"/>
    <d v="2025-04-01T00:00:00"/>
    <s v="Porcelain Tile"/>
    <n v="5100.8900000000003"/>
  </r>
  <r>
    <x v="161"/>
    <x v="124"/>
    <d v="2024-04-02T00:00:00"/>
    <s v="Granite Tile"/>
    <n v="4498.88"/>
  </r>
  <r>
    <x v="162"/>
    <x v="72"/>
    <d v="2024-10-16T00:00:00"/>
    <s v="Vinyl Tile"/>
    <n v="6074.3"/>
  </r>
  <r>
    <x v="163"/>
    <x v="55"/>
    <d v="2024-10-24T00:00:00"/>
    <s v="Vinyl Tile"/>
    <n v="3247.43"/>
  </r>
  <r>
    <x v="164"/>
    <x v="125"/>
    <d v="2025-07-22T00:00:00"/>
    <s v="Porcelain Tile"/>
    <n v="9669.2999999999993"/>
  </r>
  <r>
    <x v="165"/>
    <x v="83"/>
    <d v="2024-07-06T00:00:00"/>
    <s v="Vinyl Tile"/>
    <n v="3621.63"/>
  </r>
  <r>
    <x v="166"/>
    <x v="126"/>
    <d v="2024-10-15T00:00:00"/>
    <s v="Marble Tile"/>
    <n v="4924.78"/>
  </r>
  <r>
    <x v="167"/>
    <x v="89"/>
    <d v="2024-03-09T00:00:00"/>
    <s v="Porcelain Tile"/>
    <n v="1212.56"/>
  </r>
  <r>
    <x v="168"/>
    <x v="127"/>
    <d v="2024-12-24T00:00:00"/>
    <s v="Granite Tile"/>
    <n v="2733.98"/>
  </r>
  <r>
    <x v="169"/>
    <x v="104"/>
    <d v="2025-09-09T00:00:00"/>
    <s v="Vinyl Tile"/>
    <n v="1524.16"/>
  </r>
  <r>
    <x v="170"/>
    <x v="8"/>
    <d v="2024-10-20T00:00:00"/>
    <s v="Porcelain Tile"/>
    <n v="5015.37"/>
  </r>
  <r>
    <x v="171"/>
    <x v="128"/>
    <d v="2025-11-13T00:00:00"/>
    <s v="Terracotta Tile"/>
    <n v="9491.94"/>
  </r>
  <r>
    <x v="172"/>
    <x v="2"/>
    <d v="2025-10-13T00:00:00"/>
    <s v="Terracotta Tile"/>
    <n v="1621.31"/>
  </r>
  <r>
    <x v="173"/>
    <x v="12"/>
    <d v="2024-08-14T00:00:00"/>
    <s v="Mosaic Tile"/>
    <n v="4218.8"/>
  </r>
  <r>
    <x v="174"/>
    <x v="48"/>
    <d v="2025-12-30T00:00:00"/>
    <s v="Vinyl Tile"/>
    <n v="4638.8599999999997"/>
  </r>
  <r>
    <x v="175"/>
    <x v="117"/>
    <d v="2025-11-05T00:00:00"/>
    <s v="Vinyl Tile"/>
    <n v="5889.47"/>
  </r>
  <r>
    <x v="176"/>
    <x v="129"/>
    <d v="2024-09-13T00:00:00"/>
    <s v="Glass Tile"/>
    <n v="4970.29"/>
  </r>
  <r>
    <x v="177"/>
    <x v="130"/>
    <d v="2025-02-15T00:00:00"/>
    <s v="Porcelain Tile"/>
    <n v="1236.68"/>
  </r>
  <r>
    <x v="178"/>
    <x v="19"/>
    <d v="2025-09-20T00:00:00"/>
    <s v="Mosaic Tile"/>
    <n v="968.25"/>
  </r>
  <r>
    <x v="179"/>
    <x v="131"/>
    <d v="2025-11-15T00:00:00"/>
    <s v="Glass Tile"/>
    <n v="9525.86"/>
  </r>
  <r>
    <x v="180"/>
    <x v="132"/>
    <d v="2025-03-27T00:00:00"/>
    <s v="Marble Tile"/>
    <n v="4755.1899999999996"/>
  </r>
  <r>
    <x v="181"/>
    <x v="74"/>
    <d v="2025-07-03T00:00:00"/>
    <s v="Vinyl Tile"/>
    <n v="6127.08"/>
  </r>
  <r>
    <x v="182"/>
    <x v="133"/>
    <d v="2025-10-22T00:00:00"/>
    <s v="Ceramic Tile"/>
    <n v="7748.95"/>
  </r>
  <r>
    <x v="183"/>
    <x v="1"/>
    <d v="2024-12-16T00:00:00"/>
    <s v="Granite Tile"/>
    <n v="6850.09"/>
  </r>
  <r>
    <x v="184"/>
    <x v="83"/>
    <d v="2025-05-23T00:00:00"/>
    <s v="Mosaic Tile"/>
    <n v="1481.37"/>
  </r>
  <r>
    <x v="185"/>
    <x v="89"/>
    <d v="2024-05-28T00:00:00"/>
    <s v="Porcelain Tile"/>
    <n v="9942.4699999999993"/>
  </r>
  <r>
    <x v="186"/>
    <x v="80"/>
    <d v="2025-10-10T00:00:00"/>
    <s v="Terracotta Tile"/>
    <n v="5310.27"/>
  </r>
  <r>
    <x v="187"/>
    <x v="93"/>
    <d v="2024-07-02T00:00:00"/>
    <s v="Terracotta Tile"/>
    <n v="2276.7600000000002"/>
  </r>
  <r>
    <x v="188"/>
    <x v="131"/>
    <d v="2024-05-01T00:00:00"/>
    <s v="Granite Tile"/>
    <n v="1476.89"/>
  </r>
  <r>
    <x v="189"/>
    <x v="134"/>
    <d v="2025-05-19T00:00:00"/>
    <s v="Terracotta Tile"/>
    <n v="3068.03"/>
  </r>
  <r>
    <x v="190"/>
    <x v="135"/>
    <d v="2024-04-27T00:00:00"/>
    <s v="Granite Tile"/>
    <n v="8160.6"/>
  </r>
  <r>
    <x v="191"/>
    <x v="60"/>
    <d v="2024-09-12T00:00:00"/>
    <s v="Glass Tile"/>
    <n v="6623.12"/>
  </r>
  <r>
    <x v="192"/>
    <x v="136"/>
    <d v="2024-11-03T00:00:00"/>
    <s v="Marble Tile"/>
    <n v="6639.78"/>
  </r>
  <r>
    <x v="193"/>
    <x v="9"/>
    <d v="2024-11-02T00:00:00"/>
    <s v="Mosaic Tile"/>
    <n v="7645.48"/>
  </r>
  <r>
    <x v="194"/>
    <x v="137"/>
    <d v="2025-05-24T00:00:00"/>
    <s v="Ceramic Tile"/>
    <n v="2216.96"/>
  </r>
  <r>
    <x v="195"/>
    <x v="138"/>
    <d v="2025-03-09T00:00:00"/>
    <s v="Granite Tile"/>
    <n v="5280.13"/>
  </r>
  <r>
    <x v="196"/>
    <x v="64"/>
    <d v="2025-01-01T00:00:00"/>
    <s v="Mosaic Tile"/>
    <n v="7914.96"/>
  </r>
  <r>
    <x v="197"/>
    <x v="139"/>
    <d v="2024-04-06T00:00:00"/>
    <s v="Vinyl Tile"/>
    <n v="2103.1"/>
  </r>
  <r>
    <x v="198"/>
    <x v="56"/>
    <d v="2024-06-30T00:00:00"/>
    <s v="Mosaic Tile"/>
    <n v="9281.73"/>
  </r>
  <r>
    <x v="199"/>
    <x v="102"/>
    <d v="2024-02-04T00:00:00"/>
    <s v="Glass Tile"/>
    <n v="3539.28"/>
  </r>
  <r>
    <x v="200"/>
    <x v="76"/>
    <d v="2024-04-09T00:00:00"/>
    <s v="Ceramic Tile"/>
    <n v="8077.95"/>
  </r>
  <r>
    <x v="201"/>
    <x v="133"/>
    <d v="2024-03-13T00:00:00"/>
    <s v="Glass Tile"/>
    <n v="8166.21"/>
  </r>
  <r>
    <x v="202"/>
    <x v="108"/>
    <d v="2025-10-04T00:00:00"/>
    <s v="Mosaic Tile"/>
    <n v="1567.1"/>
  </r>
  <r>
    <x v="203"/>
    <x v="140"/>
    <d v="2024-06-02T00:00:00"/>
    <s v="Vinyl Tile"/>
    <n v="4025.27"/>
  </r>
  <r>
    <x v="204"/>
    <x v="122"/>
    <d v="2025-01-13T00:00:00"/>
    <s v="Marble Tile"/>
    <n v="9648.8799999999992"/>
  </r>
  <r>
    <x v="205"/>
    <x v="141"/>
    <d v="2025-06-05T00:00:00"/>
    <s v="Mosaic Tile"/>
    <n v="6674.67"/>
  </r>
  <r>
    <x v="206"/>
    <x v="142"/>
    <d v="2025-11-10T00:00:00"/>
    <s v="Vinyl Tile"/>
    <n v="9265.44"/>
  </r>
  <r>
    <x v="207"/>
    <x v="143"/>
    <d v="2025-06-11T00:00:00"/>
    <s v="Mosaic Tile"/>
    <n v="2058.4299999999998"/>
  </r>
  <r>
    <x v="208"/>
    <x v="144"/>
    <d v="2024-07-05T00:00:00"/>
    <s v="Glass Tile"/>
    <n v="2630.04"/>
  </r>
  <r>
    <x v="209"/>
    <x v="112"/>
    <d v="2024-12-01T00:00:00"/>
    <s v="Glass Tile"/>
    <n v="634.62"/>
  </r>
  <r>
    <x v="210"/>
    <x v="67"/>
    <d v="2025-12-09T00:00:00"/>
    <s v="Terracotta Tile"/>
    <n v="1055.29"/>
  </r>
  <r>
    <x v="211"/>
    <x v="52"/>
    <d v="2024-03-08T00:00:00"/>
    <s v="Terracotta Tile"/>
    <n v="958.48"/>
  </r>
  <r>
    <x v="212"/>
    <x v="145"/>
    <d v="2024-08-04T00:00:00"/>
    <s v="Marble Tile"/>
    <n v="5638.24"/>
  </r>
  <r>
    <x v="213"/>
    <x v="9"/>
    <d v="2024-05-06T00:00:00"/>
    <s v="Marble Tile"/>
    <n v="8209.27"/>
  </r>
  <r>
    <x v="214"/>
    <x v="8"/>
    <d v="2025-02-04T00:00:00"/>
    <s v="Marble Tile"/>
    <n v="136.63"/>
  </r>
  <r>
    <x v="215"/>
    <x v="146"/>
    <d v="2024-04-23T00:00:00"/>
    <s v="Glass Tile"/>
    <n v="376.94"/>
  </r>
  <r>
    <x v="216"/>
    <x v="147"/>
    <d v="2024-04-12T00:00:00"/>
    <s v="Granite Tile"/>
    <n v="3278.27"/>
  </r>
  <r>
    <x v="217"/>
    <x v="11"/>
    <d v="2025-10-19T00:00:00"/>
    <s v="Ceramic Tile"/>
    <n v="1195.6500000000001"/>
  </r>
  <r>
    <x v="218"/>
    <x v="148"/>
    <d v="2024-04-28T00:00:00"/>
    <s v="Vinyl Tile"/>
    <n v="5831.23"/>
  </r>
  <r>
    <x v="219"/>
    <x v="149"/>
    <d v="2025-03-08T00:00:00"/>
    <s v="Terracotta Tile"/>
    <n v="7105.51"/>
  </r>
  <r>
    <x v="220"/>
    <x v="122"/>
    <d v="2024-06-02T00:00:00"/>
    <s v="Ceramic Tile"/>
    <n v="332.15"/>
  </r>
  <r>
    <x v="221"/>
    <x v="150"/>
    <d v="2024-06-30T00:00:00"/>
    <s v="Mosaic Tile"/>
    <n v="4442.83"/>
  </r>
  <r>
    <x v="222"/>
    <x v="151"/>
    <d v="2025-08-21T00:00:00"/>
    <s v="Porcelain Tile"/>
    <n v="8017.62"/>
  </r>
  <r>
    <x v="223"/>
    <x v="12"/>
    <d v="2025-07-26T00:00:00"/>
    <s v="Glass Tile"/>
    <n v="7371.35"/>
  </r>
  <r>
    <x v="224"/>
    <x v="1"/>
    <d v="2024-07-08T00:00:00"/>
    <s v="Porcelain Tile"/>
    <n v="4873.3"/>
  </r>
  <r>
    <x v="225"/>
    <x v="23"/>
    <d v="2025-12-01T00:00:00"/>
    <s v="Marble Tile"/>
    <n v="875.3"/>
  </r>
  <r>
    <x v="226"/>
    <x v="152"/>
    <d v="2025-03-22T00:00:00"/>
    <s v="Marble Tile"/>
    <n v="4771.01"/>
  </r>
  <r>
    <x v="227"/>
    <x v="18"/>
    <d v="2024-04-23T00:00:00"/>
    <s v="Mosaic Tile"/>
    <n v="7940.63"/>
  </r>
  <r>
    <x v="228"/>
    <x v="153"/>
    <d v="2025-09-11T00:00:00"/>
    <s v="Glass Tile"/>
    <n v="1693.79"/>
  </r>
  <r>
    <x v="229"/>
    <x v="38"/>
    <d v="2025-12-24T00:00:00"/>
    <s v="Glass Tile"/>
    <n v="3531.41"/>
  </r>
  <r>
    <x v="230"/>
    <x v="154"/>
    <d v="2025-08-06T00:00:00"/>
    <s v="Mosaic Tile"/>
    <n v="6910.68"/>
  </r>
  <r>
    <x v="231"/>
    <x v="120"/>
    <d v="2025-01-11T00:00:00"/>
    <s v="Mosaic Tile"/>
    <n v="8041.35"/>
  </r>
  <r>
    <x v="232"/>
    <x v="95"/>
    <d v="2025-07-27T00:00:00"/>
    <s v="Glass Tile"/>
    <n v="2729.62"/>
  </r>
  <r>
    <x v="233"/>
    <x v="30"/>
    <d v="2025-09-11T00:00:00"/>
    <s v="Ceramic Tile"/>
    <n v="7258.34"/>
  </r>
  <r>
    <x v="234"/>
    <x v="70"/>
    <d v="2024-03-24T00:00:00"/>
    <s v="Mosaic Tile"/>
    <n v="2536.09"/>
  </r>
  <r>
    <x v="235"/>
    <x v="155"/>
    <d v="2025-03-03T00:00:00"/>
    <s v="Marble Tile"/>
    <n v="4703.8500000000004"/>
  </r>
  <r>
    <x v="236"/>
    <x v="115"/>
    <d v="2024-08-12T00:00:00"/>
    <s v="Ceramic Tile"/>
    <n v="3444.69"/>
  </r>
  <r>
    <x v="237"/>
    <x v="156"/>
    <d v="2024-04-16T00:00:00"/>
    <s v="Mosaic Tile"/>
    <n v="5302.63"/>
  </r>
  <r>
    <x v="238"/>
    <x v="37"/>
    <d v="2024-10-23T00:00:00"/>
    <s v="Glass Tile"/>
    <n v="2197.2600000000002"/>
  </r>
  <r>
    <x v="239"/>
    <x v="88"/>
    <d v="2024-08-03T00:00:00"/>
    <s v="Marble Tile"/>
    <n v="223.78"/>
  </r>
  <r>
    <x v="240"/>
    <x v="146"/>
    <d v="2024-09-19T00:00:00"/>
    <s v="Vinyl Tile"/>
    <n v="9404.89"/>
  </r>
  <r>
    <x v="241"/>
    <x v="131"/>
    <d v="2025-02-08T00:00:00"/>
    <s v="Mosaic Tile"/>
    <n v="8140.07"/>
  </r>
  <r>
    <x v="242"/>
    <x v="63"/>
    <d v="2025-12-17T00:00:00"/>
    <s v="Vinyl Tile"/>
    <n v="9804.5499999999993"/>
  </r>
  <r>
    <x v="243"/>
    <x v="147"/>
    <d v="2025-05-11T00:00:00"/>
    <s v="Ceramic Tile"/>
    <n v="4019.15"/>
  </r>
  <r>
    <x v="244"/>
    <x v="146"/>
    <d v="2025-12-14T00:00:00"/>
    <s v="Terracotta Tile"/>
    <n v="8121.99"/>
  </r>
  <r>
    <x v="245"/>
    <x v="157"/>
    <d v="2025-10-03T00:00:00"/>
    <s v="Mosaic Tile"/>
    <n v="8476.43"/>
  </r>
  <r>
    <x v="246"/>
    <x v="14"/>
    <d v="2025-05-17T00:00:00"/>
    <s v="Marble Tile"/>
    <n v="9103.92"/>
  </r>
  <r>
    <x v="247"/>
    <x v="98"/>
    <d v="2024-06-25T00:00:00"/>
    <s v="Ceramic Tile"/>
    <n v="5624.53"/>
  </r>
  <r>
    <x v="248"/>
    <x v="116"/>
    <d v="2025-04-02T00:00:00"/>
    <s v="Terracotta Tile"/>
    <n v="9764.67"/>
  </r>
  <r>
    <x v="249"/>
    <x v="54"/>
    <d v="2025-02-19T00:00:00"/>
    <s v="Mosaic Tile"/>
    <n v="1718.43"/>
  </r>
  <r>
    <x v="250"/>
    <x v="104"/>
    <d v="2025-12-17T00:00:00"/>
    <s v="Glass Tile"/>
    <n v="1535.82"/>
  </r>
  <r>
    <x v="251"/>
    <x v="30"/>
    <d v="2025-07-24T00:00:00"/>
    <s v="Marble Tile"/>
    <n v="808.16"/>
  </r>
  <r>
    <x v="252"/>
    <x v="54"/>
    <d v="2025-04-01T00:00:00"/>
    <s v="Glass Tile"/>
    <n v="8584.6299999999992"/>
  </r>
  <r>
    <x v="253"/>
    <x v="158"/>
    <d v="2025-01-22T00:00:00"/>
    <s v="Ceramic Tile"/>
    <n v="1315.75"/>
  </r>
  <r>
    <x v="254"/>
    <x v="47"/>
    <d v="2025-05-21T00:00:00"/>
    <s v="Granite Tile"/>
    <n v="7684.68"/>
  </r>
  <r>
    <x v="255"/>
    <x v="155"/>
    <d v="2025-04-20T00:00:00"/>
    <s v="Glass Tile"/>
    <n v="4379.75"/>
  </r>
  <r>
    <x v="256"/>
    <x v="114"/>
    <d v="2025-01-20T00:00:00"/>
    <s v="Granite Tile"/>
    <n v="8925.82"/>
  </r>
  <r>
    <x v="257"/>
    <x v="159"/>
    <d v="2025-04-06T00:00:00"/>
    <s v="Ceramic Tile"/>
    <n v="380.37"/>
  </r>
  <r>
    <x v="258"/>
    <x v="160"/>
    <d v="2024-11-08T00:00:00"/>
    <s v="Ceramic Tile"/>
    <n v="3715.35"/>
  </r>
  <r>
    <x v="259"/>
    <x v="161"/>
    <d v="2025-03-14T00:00:00"/>
    <s v="Vinyl Tile"/>
    <n v="2229.11"/>
  </r>
  <r>
    <x v="260"/>
    <x v="41"/>
    <d v="2024-06-15T00:00:00"/>
    <s v="Granite Tile"/>
    <n v="1100.22"/>
  </r>
  <r>
    <x v="261"/>
    <x v="162"/>
    <d v="2024-08-24T00:00:00"/>
    <s v="Terracotta Tile"/>
    <n v="3278.9"/>
  </r>
  <r>
    <x v="262"/>
    <x v="94"/>
    <d v="2024-07-03T00:00:00"/>
    <s v="Vinyl Tile"/>
    <n v="4986.99"/>
  </r>
  <r>
    <x v="263"/>
    <x v="74"/>
    <d v="2024-05-21T00:00:00"/>
    <s v="Porcelain Tile"/>
    <n v="4037.16"/>
  </r>
  <r>
    <x v="264"/>
    <x v="50"/>
    <d v="2024-11-18T00:00:00"/>
    <s v="Marble Tile"/>
    <n v="8242.8799999999992"/>
  </r>
  <r>
    <x v="265"/>
    <x v="20"/>
    <d v="2024-11-30T00:00:00"/>
    <s v="Porcelain Tile"/>
    <n v="5767.08"/>
  </r>
  <r>
    <x v="266"/>
    <x v="163"/>
    <d v="2025-04-07T00:00:00"/>
    <s v="Porcelain Tile"/>
    <n v="3600.62"/>
  </r>
  <r>
    <x v="267"/>
    <x v="25"/>
    <d v="2024-04-10T00:00:00"/>
    <s v="Vinyl Tile"/>
    <n v="7459.08"/>
  </r>
  <r>
    <x v="268"/>
    <x v="164"/>
    <d v="2025-11-20T00:00:00"/>
    <s v="Vinyl Tile"/>
    <n v="2781.4"/>
  </r>
  <r>
    <x v="269"/>
    <x v="88"/>
    <d v="2024-01-12T00:00:00"/>
    <s v="Vinyl Tile"/>
    <n v="5564.96"/>
  </r>
  <r>
    <x v="270"/>
    <x v="76"/>
    <d v="2025-06-13T00:00:00"/>
    <s v="Granite Tile"/>
    <n v="862.11"/>
  </r>
  <r>
    <x v="271"/>
    <x v="146"/>
    <d v="2025-08-06T00:00:00"/>
    <s v="Porcelain Tile"/>
    <n v="3764.86"/>
  </r>
  <r>
    <x v="272"/>
    <x v="58"/>
    <d v="2025-12-08T00:00:00"/>
    <s v="Ceramic Tile"/>
    <n v="680.46"/>
  </r>
  <r>
    <x v="273"/>
    <x v="154"/>
    <d v="2025-11-06T00:00:00"/>
    <s v="Porcelain Tile"/>
    <n v="5006.63"/>
  </r>
  <r>
    <x v="274"/>
    <x v="137"/>
    <d v="2025-01-20T00:00:00"/>
    <s v="Ceramic Tile"/>
    <n v="5901.94"/>
  </r>
  <r>
    <x v="275"/>
    <x v="140"/>
    <d v="2024-04-05T00:00:00"/>
    <s v="Marble Tile"/>
    <n v="7874.19"/>
  </r>
  <r>
    <x v="276"/>
    <x v="165"/>
    <d v="2025-03-08T00:00:00"/>
    <s v="Granite Tile"/>
    <n v="435.37"/>
  </r>
  <r>
    <x v="277"/>
    <x v="158"/>
    <d v="2025-03-19T00:00:00"/>
    <s v="Terracotta Tile"/>
    <n v="8604.4"/>
  </r>
  <r>
    <x v="278"/>
    <x v="166"/>
    <d v="2025-08-30T00:00:00"/>
    <s v="Vinyl Tile"/>
    <n v="7167.99"/>
  </r>
  <r>
    <x v="279"/>
    <x v="115"/>
    <d v="2025-01-29T00:00:00"/>
    <s v="Terracotta Tile"/>
    <n v="6087.45"/>
  </r>
  <r>
    <x v="280"/>
    <x v="80"/>
    <d v="2025-12-25T00:00:00"/>
    <s v="Terracotta Tile"/>
    <n v="6692.07"/>
  </r>
  <r>
    <x v="281"/>
    <x v="167"/>
    <d v="2025-01-31T00:00:00"/>
    <s v="Vinyl Tile"/>
    <n v="6444.73"/>
  </r>
  <r>
    <x v="282"/>
    <x v="168"/>
    <d v="2024-08-31T00:00:00"/>
    <s v="Ceramic Tile"/>
    <n v="846.32"/>
  </r>
  <r>
    <x v="283"/>
    <x v="22"/>
    <d v="2024-04-11T00:00:00"/>
    <s v="Granite Tile"/>
    <n v="8241.31"/>
  </r>
  <r>
    <x v="284"/>
    <x v="169"/>
    <d v="2025-03-15T00:00:00"/>
    <s v="Porcelain Tile"/>
    <n v="8792.56"/>
  </r>
  <r>
    <x v="285"/>
    <x v="170"/>
    <d v="2025-09-16T00:00:00"/>
    <s v="Ceramic Tile"/>
    <n v="9141.35"/>
  </r>
  <r>
    <x v="286"/>
    <x v="150"/>
    <d v="2024-08-09T00:00:00"/>
    <s v="Mosaic Tile"/>
    <n v="8332.1200000000008"/>
  </r>
  <r>
    <x v="287"/>
    <x v="171"/>
    <d v="2024-12-31T00:00:00"/>
    <s v="Terracotta Tile"/>
    <n v="3313.73"/>
  </r>
  <r>
    <x v="288"/>
    <x v="2"/>
    <d v="2025-06-06T00:00:00"/>
    <s v="Glass Tile"/>
    <n v="8759.39"/>
  </r>
  <r>
    <x v="289"/>
    <x v="94"/>
    <d v="2025-01-11T00:00:00"/>
    <s v="Mosaic Tile"/>
    <n v="3269.2"/>
  </r>
  <r>
    <x v="290"/>
    <x v="82"/>
    <d v="2025-09-02T00:00:00"/>
    <s v="Porcelain Tile"/>
    <n v="97.39"/>
  </r>
  <r>
    <x v="291"/>
    <x v="12"/>
    <d v="2024-05-06T00:00:00"/>
    <s v="Vinyl Tile"/>
    <n v="7378.07"/>
  </r>
  <r>
    <x v="292"/>
    <x v="172"/>
    <d v="2025-04-25T00:00:00"/>
    <s v="Marble Tile"/>
    <n v="4739.2299999999996"/>
  </r>
  <r>
    <x v="293"/>
    <x v="40"/>
    <d v="2024-09-17T00:00:00"/>
    <s v="Marble Tile"/>
    <n v="7490.8"/>
  </r>
  <r>
    <x v="294"/>
    <x v="165"/>
    <d v="2024-09-09T00:00:00"/>
    <s v="Granite Tile"/>
    <n v="4229.88"/>
  </r>
  <r>
    <x v="295"/>
    <x v="113"/>
    <d v="2025-06-10T00:00:00"/>
    <s v="Ceramic Tile"/>
    <n v="5485.69"/>
  </r>
  <r>
    <x v="296"/>
    <x v="173"/>
    <d v="2024-08-13T00:00:00"/>
    <s v="Glass Tile"/>
    <n v="9748.86"/>
  </r>
  <r>
    <x v="297"/>
    <x v="57"/>
    <d v="2025-12-25T00:00:00"/>
    <s v="Porcelain Tile"/>
    <n v="8937.75"/>
  </r>
  <r>
    <x v="298"/>
    <x v="174"/>
    <d v="2024-12-01T00:00:00"/>
    <s v="Porcelain Tile"/>
    <n v="3283.57"/>
  </r>
  <r>
    <x v="299"/>
    <x v="7"/>
    <d v="2025-08-19T00:00:00"/>
    <s v="Marble Tile"/>
    <n v="5526.66"/>
  </r>
  <r>
    <x v="300"/>
    <x v="70"/>
    <d v="2024-11-30T00:00:00"/>
    <s v="Marble Tile"/>
    <n v="2965.39"/>
  </r>
  <r>
    <x v="301"/>
    <x v="81"/>
    <d v="2025-05-20T00:00:00"/>
    <s v="Glass Tile"/>
    <n v="4851.3500000000004"/>
  </r>
  <r>
    <x v="302"/>
    <x v="137"/>
    <d v="2024-05-02T00:00:00"/>
    <s v="Ceramic Tile"/>
    <n v="4860.37"/>
  </r>
  <r>
    <x v="303"/>
    <x v="41"/>
    <d v="2024-12-05T00:00:00"/>
    <s v="Marble Tile"/>
    <n v="5084.28"/>
  </r>
  <r>
    <x v="304"/>
    <x v="161"/>
    <d v="2024-06-03T00:00:00"/>
    <s v="Marble Tile"/>
    <n v="5517.85"/>
  </r>
  <r>
    <x v="305"/>
    <x v="175"/>
    <d v="2025-11-08T00:00:00"/>
    <s v="Mosaic Tile"/>
    <n v="2114.94"/>
  </r>
  <r>
    <x v="306"/>
    <x v="137"/>
    <d v="2024-12-28T00:00:00"/>
    <s v="Glass Tile"/>
    <n v="2448.84"/>
  </r>
  <r>
    <x v="307"/>
    <x v="44"/>
    <d v="2025-02-23T00:00:00"/>
    <s v="Glass Tile"/>
    <n v="4662.37"/>
  </r>
  <r>
    <x v="308"/>
    <x v="166"/>
    <d v="2025-07-12T00:00:00"/>
    <s v="Ceramic Tile"/>
    <n v="7942.99"/>
  </r>
  <r>
    <x v="309"/>
    <x v="89"/>
    <d v="2025-03-29T00:00:00"/>
    <s v="Marble Tile"/>
    <n v="1720.62"/>
  </r>
  <r>
    <x v="310"/>
    <x v="176"/>
    <d v="2024-07-11T00:00:00"/>
    <s v="Granite Tile"/>
    <n v="4565.22"/>
  </r>
  <r>
    <x v="311"/>
    <x v="120"/>
    <d v="2025-04-11T00:00:00"/>
    <s v="Mosaic Tile"/>
    <n v="3407.74"/>
  </r>
  <r>
    <x v="312"/>
    <x v="177"/>
    <d v="2025-02-12T00:00:00"/>
    <s v="Granite Tile"/>
    <n v="3649.44"/>
  </r>
  <r>
    <x v="313"/>
    <x v="178"/>
    <d v="2025-03-05T00:00:00"/>
    <s v="Porcelain Tile"/>
    <n v="2118.67"/>
  </r>
  <r>
    <x v="314"/>
    <x v="43"/>
    <d v="2025-03-18T00:00:00"/>
    <s v="Ceramic Tile"/>
    <n v="1454.15"/>
  </r>
  <r>
    <x v="315"/>
    <x v="142"/>
    <d v="2025-11-26T00:00:00"/>
    <s v="Porcelain Tile"/>
    <n v="4924.92"/>
  </r>
  <r>
    <x v="316"/>
    <x v="35"/>
    <d v="2024-08-30T00:00:00"/>
    <s v="Ceramic Tile"/>
    <n v="7252.77"/>
  </r>
  <r>
    <x v="317"/>
    <x v="65"/>
    <d v="2025-04-07T00:00:00"/>
    <s v="Terracotta Tile"/>
    <n v="1437.79"/>
  </r>
  <r>
    <x v="318"/>
    <x v="179"/>
    <d v="2024-02-13T00:00:00"/>
    <s v="Glass Tile"/>
    <n v="3061.32"/>
  </r>
  <r>
    <x v="319"/>
    <x v="176"/>
    <d v="2025-12-07T00:00:00"/>
    <s v="Mosaic Tile"/>
    <n v="2953.03"/>
  </r>
  <r>
    <x v="320"/>
    <x v="152"/>
    <d v="2025-08-13T00:00:00"/>
    <s v="Mosaic Tile"/>
    <n v="7094.01"/>
  </r>
  <r>
    <x v="321"/>
    <x v="66"/>
    <d v="2024-08-26T00:00:00"/>
    <s v="Granite Tile"/>
    <n v="5063.18"/>
  </r>
  <r>
    <x v="322"/>
    <x v="39"/>
    <d v="2025-02-16T00:00:00"/>
    <s v="Marble Tile"/>
    <n v="5975.35"/>
  </r>
  <r>
    <x v="323"/>
    <x v="113"/>
    <d v="2024-06-05T00:00:00"/>
    <s v="Ceramic Tile"/>
    <n v="672.92"/>
  </r>
  <r>
    <x v="324"/>
    <x v="63"/>
    <d v="2024-01-22T00:00:00"/>
    <s v="Porcelain Tile"/>
    <n v="357.96"/>
  </r>
  <r>
    <x v="325"/>
    <x v="23"/>
    <d v="2024-05-27T00:00:00"/>
    <s v="Ceramic Tile"/>
    <n v="9223.02"/>
  </r>
  <r>
    <x v="326"/>
    <x v="50"/>
    <d v="2025-11-18T00:00:00"/>
    <s v="Vinyl Tile"/>
    <n v="4701.97"/>
  </r>
  <r>
    <x v="327"/>
    <x v="8"/>
    <d v="2025-03-22T00:00:00"/>
    <s v="Mosaic Tile"/>
    <n v="4160.54"/>
  </r>
  <r>
    <x v="328"/>
    <x v="133"/>
    <d v="2024-08-13T00:00:00"/>
    <s v="Terracotta Tile"/>
    <n v="8690.1200000000008"/>
  </r>
  <r>
    <x v="329"/>
    <x v="174"/>
    <d v="2024-05-22T00:00:00"/>
    <s v="Granite Tile"/>
    <n v="3410.11"/>
  </r>
  <r>
    <x v="330"/>
    <x v="12"/>
    <d v="2025-12-13T00:00:00"/>
    <s v="Glass Tile"/>
    <n v="1851.22"/>
  </r>
  <r>
    <x v="331"/>
    <x v="47"/>
    <d v="2024-10-16T00:00:00"/>
    <s v="Vinyl Tile"/>
    <n v="2307.92"/>
  </r>
  <r>
    <x v="332"/>
    <x v="109"/>
    <d v="2024-01-18T00:00:00"/>
    <s v="Glass Tile"/>
    <n v="1625.7"/>
  </r>
  <r>
    <x v="333"/>
    <x v="7"/>
    <d v="2024-12-14T00:00:00"/>
    <s v="Mosaic Tile"/>
    <n v="7274.3"/>
  </r>
  <r>
    <x v="334"/>
    <x v="14"/>
    <d v="2024-02-04T00:00:00"/>
    <s v="Ceramic Tile"/>
    <n v="2661.83"/>
  </r>
  <r>
    <x v="335"/>
    <x v="167"/>
    <d v="2025-09-12T00:00:00"/>
    <s v="Marble Tile"/>
    <n v="6500.1"/>
  </r>
  <r>
    <x v="336"/>
    <x v="48"/>
    <d v="2024-11-17T00:00:00"/>
    <s v="Mosaic Tile"/>
    <n v="3288.49"/>
  </r>
  <r>
    <x v="337"/>
    <x v="48"/>
    <d v="2024-12-17T00:00:00"/>
    <s v="Marble Tile"/>
    <n v="917.76"/>
  </r>
  <r>
    <x v="338"/>
    <x v="93"/>
    <d v="2025-05-30T00:00:00"/>
    <s v="Vinyl Tile"/>
    <n v="4760.83"/>
  </r>
  <r>
    <x v="339"/>
    <x v="120"/>
    <d v="2025-09-30T00:00:00"/>
    <s v="Glass Tile"/>
    <n v="7824.3"/>
  </r>
  <r>
    <x v="340"/>
    <x v="76"/>
    <d v="2025-12-03T00:00:00"/>
    <s v="Porcelain Tile"/>
    <n v="6728.84"/>
  </r>
  <r>
    <x v="341"/>
    <x v="166"/>
    <d v="2025-12-01T00:00:00"/>
    <s v="Ceramic Tile"/>
    <n v="7108.38"/>
  </r>
  <r>
    <x v="342"/>
    <x v="126"/>
    <d v="2025-08-20T00:00:00"/>
    <s v="Marble Tile"/>
    <n v="8625.1299999999992"/>
  </r>
  <r>
    <x v="343"/>
    <x v="180"/>
    <d v="2025-08-26T00:00:00"/>
    <s v="Marble Tile"/>
    <n v="8512.2099999999991"/>
  </r>
  <r>
    <x v="344"/>
    <x v="30"/>
    <d v="2025-12-17T00:00:00"/>
    <s v="Granite Tile"/>
    <n v="9096.35"/>
  </r>
  <r>
    <x v="345"/>
    <x v="7"/>
    <d v="2025-07-24T00:00:00"/>
    <s v="Marble Tile"/>
    <n v="5888.43"/>
  </r>
  <r>
    <x v="346"/>
    <x v="168"/>
    <d v="2024-01-03T00:00:00"/>
    <s v="Terracotta Tile"/>
    <n v="3179.22"/>
  </r>
  <r>
    <x v="347"/>
    <x v="181"/>
    <d v="2024-08-25T00:00:00"/>
    <s v="Porcelain Tile"/>
    <n v="3501.74"/>
  </r>
  <r>
    <x v="348"/>
    <x v="149"/>
    <d v="2024-12-10T00:00:00"/>
    <s v="Vinyl Tile"/>
    <n v="3107.31"/>
  </r>
  <r>
    <x v="349"/>
    <x v="144"/>
    <d v="2024-06-14T00:00:00"/>
    <s v="Glass Tile"/>
    <n v="197.3"/>
  </r>
  <r>
    <x v="350"/>
    <x v="21"/>
    <d v="2024-10-02T00:00:00"/>
    <s v="Granite Tile"/>
    <n v="5788.2"/>
  </r>
  <r>
    <x v="351"/>
    <x v="182"/>
    <d v="2025-11-08T00:00:00"/>
    <s v="Mosaic Tile"/>
    <n v="6435.92"/>
  </r>
  <r>
    <x v="352"/>
    <x v="34"/>
    <d v="2024-01-05T00:00:00"/>
    <s v="Granite Tile"/>
    <n v="6799.94"/>
  </r>
  <r>
    <x v="353"/>
    <x v="183"/>
    <d v="2024-08-03T00:00:00"/>
    <s v="Granite Tile"/>
    <n v="5811.69"/>
  </r>
  <r>
    <x v="354"/>
    <x v="146"/>
    <d v="2025-11-06T00:00:00"/>
    <s v="Terracotta Tile"/>
    <n v="2220.48"/>
  </r>
  <r>
    <x v="355"/>
    <x v="184"/>
    <d v="2024-05-24T00:00:00"/>
    <s v="Ceramic Tile"/>
    <n v="3332.45"/>
  </r>
  <r>
    <x v="356"/>
    <x v="9"/>
    <d v="2025-03-17T00:00:00"/>
    <s v="Terracotta Tile"/>
    <n v="4152.91"/>
  </r>
  <r>
    <x v="357"/>
    <x v="185"/>
    <d v="2024-11-06T00:00:00"/>
    <s v="Granite Tile"/>
    <n v="1030.46"/>
  </r>
  <r>
    <x v="358"/>
    <x v="149"/>
    <d v="2024-07-23T00:00:00"/>
    <s v="Terracotta Tile"/>
    <n v="8622.26"/>
  </r>
  <r>
    <x v="359"/>
    <x v="186"/>
    <d v="2025-08-16T00:00:00"/>
    <s v="Mosaic Tile"/>
    <n v="1528.9"/>
  </r>
  <r>
    <x v="360"/>
    <x v="187"/>
    <d v="2025-07-24T00:00:00"/>
    <s v="Mosaic Tile"/>
    <n v="1953.82"/>
  </r>
  <r>
    <x v="361"/>
    <x v="78"/>
    <d v="2025-02-22T00:00:00"/>
    <s v="Glass Tile"/>
    <n v="3381.44"/>
  </r>
  <r>
    <x v="362"/>
    <x v="188"/>
    <d v="2025-01-27T00:00:00"/>
    <s v="Porcelain Tile"/>
    <n v="5463.75"/>
  </r>
  <r>
    <x v="363"/>
    <x v="189"/>
    <d v="2025-03-20T00:00:00"/>
    <s v="Marble Tile"/>
    <n v="9168.59"/>
  </r>
  <r>
    <x v="364"/>
    <x v="100"/>
    <d v="2025-11-18T00:00:00"/>
    <s v="Granite Tile"/>
    <n v="7852.63"/>
  </r>
  <r>
    <x v="365"/>
    <x v="13"/>
    <d v="2024-07-23T00:00:00"/>
    <s v="Terracotta Tile"/>
    <n v="9770.11"/>
  </r>
  <r>
    <x v="366"/>
    <x v="162"/>
    <d v="2024-03-26T00:00:00"/>
    <s v="Mosaic Tile"/>
    <n v="5419.1"/>
  </r>
  <r>
    <x v="367"/>
    <x v="190"/>
    <d v="2024-09-29T00:00:00"/>
    <s v="Vinyl Tile"/>
    <n v="3608.23"/>
  </r>
  <r>
    <x v="368"/>
    <x v="137"/>
    <d v="2024-01-15T00:00:00"/>
    <s v="Glass Tile"/>
    <n v="8863.11"/>
  </r>
  <r>
    <x v="369"/>
    <x v="173"/>
    <d v="2024-01-21T00:00:00"/>
    <s v="Ceramic Tile"/>
    <n v="445.6"/>
  </r>
  <r>
    <x v="370"/>
    <x v="33"/>
    <d v="2024-04-18T00:00:00"/>
    <s v="Terracotta Tile"/>
    <n v="9642.1200000000008"/>
  </r>
  <r>
    <x v="371"/>
    <x v="163"/>
    <d v="2025-05-30T00:00:00"/>
    <s v="Marble Tile"/>
    <n v="5510.23"/>
  </r>
  <r>
    <x v="372"/>
    <x v="162"/>
    <d v="2024-03-29T00:00:00"/>
    <s v="Granite Tile"/>
    <n v="1317.72"/>
  </r>
  <r>
    <x v="373"/>
    <x v="51"/>
    <d v="2024-02-25T00:00:00"/>
    <s v="Porcelain Tile"/>
    <n v="1930.71"/>
  </r>
  <r>
    <x v="374"/>
    <x v="107"/>
    <d v="2024-11-04T00:00:00"/>
    <s v="Glass Tile"/>
    <n v="9573.93"/>
  </r>
  <r>
    <x v="375"/>
    <x v="53"/>
    <d v="2025-12-11T00:00:00"/>
    <s v="Vinyl Tile"/>
    <n v="509.55"/>
  </r>
  <r>
    <x v="376"/>
    <x v="132"/>
    <d v="2025-11-23T00:00:00"/>
    <s v="Ceramic Tile"/>
    <n v="6111.63"/>
  </r>
  <r>
    <x v="377"/>
    <x v="51"/>
    <d v="2025-04-03T00:00:00"/>
    <s v="Mosaic Tile"/>
    <n v="2349.67"/>
  </r>
  <r>
    <x v="378"/>
    <x v="105"/>
    <d v="2024-10-09T00:00:00"/>
    <s v="Mosaic Tile"/>
    <n v="7757.72"/>
  </r>
  <r>
    <x v="379"/>
    <x v="121"/>
    <d v="2025-07-18T00:00:00"/>
    <s v="Mosaic Tile"/>
    <n v="5157.1899999999996"/>
  </r>
  <r>
    <x v="380"/>
    <x v="161"/>
    <d v="2024-02-21T00:00:00"/>
    <s v="Marble Tile"/>
    <n v="1088.3599999999999"/>
  </r>
  <r>
    <x v="381"/>
    <x v="84"/>
    <d v="2024-08-20T00:00:00"/>
    <s v="Porcelain Tile"/>
    <n v="9498.31"/>
  </r>
  <r>
    <x v="382"/>
    <x v="191"/>
    <d v="2024-08-22T00:00:00"/>
    <s v="Granite Tile"/>
    <n v="3415.42"/>
  </r>
  <r>
    <x v="383"/>
    <x v="35"/>
    <d v="2024-06-15T00:00:00"/>
    <s v="Ceramic Tile"/>
    <n v="1607.41"/>
  </r>
  <r>
    <x v="384"/>
    <x v="82"/>
    <d v="2024-11-14T00:00:00"/>
    <s v="Marble Tile"/>
    <n v="468.15"/>
  </r>
  <r>
    <x v="385"/>
    <x v="190"/>
    <d v="2025-02-12T00:00:00"/>
    <s v="Marble Tile"/>
    <n v="8739.1"/>
  </r>
  <r>
    <x v="386"/>
    <x v="140"/>
    <d v="2024-04-30T00:00:00"/>
    <s v="Terracotta Tile"/>
    <n v="4410.55"/>
  </r>
  <r>
    <x v="387"/>
    <x v="192"/>
    <d v="2024-04-25T00:00:00"/>
    <s v="Glass Tile"/>
    <n v="176.25"/>
  </r>
  <r>
    <x v="388"/>
    <x v="8"/>
    <d v="2024-10-16T00:00:00"/>
    <s v="Mosaic Tile"/>
    <n v="3504.06"/>
  </r>
  <r>
    <x v="389"/>
    <x v="193"/>
    <d v="2025-12-17T00:00:00"/>
    <s v="Glass Tile"/>
    <n v="8433.57"/>
  </r>
  <r>
    <x v="390"/>
    <x v="160"/>
    <d v="2025-06-01T00:00:00"/>
    <s v="Terracotta Tile"/>
    <n v="1309.78"/>
  </r>
  <r>
    <x v="391"/>
    <x v="194"/>
    <d v="2024-07-10T00:00:00"/>
    <s v="Glass Tile"/>
    <n v="8572.4500000000007"/>
  </r>
  <r>
    <x v="392"/>
    <x v="5"/>
    <d v="2024-04-24T00:00:00"/>
    <s v="Ceramic Tile"/>
    <n v="2665.72"/>
  </r>
  <r>
    <x v="393"/>
    <x v="56"/>
    <d v="2024-01-18T00:00:00"/>
    <s v="Granite Tile"/>
    <n v="2759.37"/>
  </r>
  <r>
    <x v="394"/>
    <x v="170"/>
    <d v="2024-02-08T00:00:00"/>
    <s v="Vinyl Tile"/>
    <n v="6943.07"/>
  </r>
  <r>
    <x v="395"/>
    <x v="40"/>
    <d v="2025-06-13T00:00:00"/>
    <s v="Porcelain Tile"/>
    <n v="1096.1600000000001"/>
  </r>
  <r>
    <x v="396"/>
    <x v="146"/>
    <d v="2025-03-22T00:00:00"/>
    <s v="Ceramic Tile"/>
    <n v="694.65"/>
  </r>
  <r>
    <x v="397"/>
    <x v="146"/>
    <d v="2024-09-21T00:00:00"/>
    <s v="Marble Tile"/>
    <n v="3163.02"/>
  </r>
  <r>
    <x v="398"/>
    <x v="195"/>
    <d v="2025-01-30T00:00:00"/>
    <s v="Glass Tile"/>
    <n v="4739.6499999999996"/>
  </r>
  <r>
    <x v="399"/>
    <x v="123"/>
    <d v="2024-06-19T00:00:00"/>
    <s v="Granite Tile"/>
    <n v="366.61"/>
  </r>
  <r>
    <x v="400"/>
    <x v="177"/>
    <d v="2024-08-30T00:00:00"/>
    <s v="Porcelain Tile"/>
    <n v="8461.99"/>
  </r>
  <r>
    <x v="401"/>
    <x v="196"/>
    <d v="2024-03-04T00:00:00"/>
    <s v="Terracotta Tile"/>
    <n v="9593.06"/>
  </r>
  <r>
    <x v="402"/>
    <x v="52"/>
    <d v="2025-08-09T00:00:00"/>
    <s v="Ceramic Tile"/>
    <n v="9932.94"/>
  </r>
  <r>
    <x v="403"/>
    <x v="197"/>
    <d v="2024-12-11T00:00:00"/>
    <s v="Porcelain Tile"/>
    <n v="9804.9"/>
  </r>
  <r>
    <x v="404"/>
    <x v="180"/>
    <d v="2025-03-16T00:00:00"/>
    <s v="Vinyl Tile"/>
    <n v="6498.99"/>
  </r>
  <r>
    <x v="405"/>
    <x v="194"/>
    <d v="2024-05-10T00:00:00"/>
    <s v="Granite Tile"/>
    <n v="3962.21"/>
  </r>
  <r>
    <x v="406"/>
    <x v="71"/>
    <d v="2025-05-09T00:00:00"/>
    <s v="Glass Tile"/>
    <n v="5519.37"/>
  </r>
  <r>
    <x v="407"/>
    <x v="198"/>
    <d v="2025-08-07T00:00:00"/>
    <s v="Mosaic Tile"/>
    <n v="558.47"/>
  </r>
  <r>
    <x v="408"/>
    <x v="41"/>
    <d v="2024-05-09T00:00:00"/>
    <s v="Vinyl Tile"/>
    <n v="5124.4799999999996"/>
  </r>
  <r>
    <x v="409"/>
    <x v="69"/>
    <d v="2025-02-11T00:00:00"/>
    <s v="Terracotta Tile"/>
    <n v="3230.09"/>
  </r>
  <r>
    <x v="410"/>
    <x v="52"/>
    <d v="2025-02-01T00:00:00"/>
    <s v="Mosaic Tile"/>
    <n v="609.95000000000005"/>
  </r>
  <r>
    <x v="411"/>
    <x v="149"/>
    <d v="2025-06-14T00:00:00"/>
    <s v="Marble Tile"/>
    <n v="7332.84"/>
  </r>
  <r>
    <x v="412"/>
    <x v="33"/>
    <d v="2025-04-18T00:00:00"/>
    <s v="Granite Tile"/>
    <n v="7709.18"/>
  </r>
  <r>
    <x v="413"/>
    <x v="3"/>
    <d v="2024-08-17T00:00:00"/>
    <s v="Porcelain Tile"/>
    <n v="8338.99"/>
  </r>
  <r>
    <x v="414"/>
    <x v="199"/>
    <d v="2025-08-27T00:00:00"/>
    <s v="Marble Tile"/>
    <n v="3041.47"/>
  </r>
  <r>
    <x v="415"/>
    <x v="131"/>
    <d v="2025-06-18T00:00:00"/>
    <s v="Mosaic Tile"/>
    <n v="7311.44"/>
  </r>
  <r>
    <x v="416"/>
    <x v="70"/>
    <d v="2024-09-10T00:00:00"/>
    <s v="Marble Tile"/>
    <n v="8929.6"/>
  </r>
  <r>
    <x v="417"/>
    <x v="174"/>
    <d v="2024-01-22T00:00:00"/>
    <s v="Glass Tile"/>
    <n v="9707"/>
  </r>
  <r>
    <x v="418"/>
    <x v="10"/>
    <d v="2025-02-28T00:00:00"/>
    <s v="Terracotta Tile"/>
    <n v="4141.32"/>
  </r>
  <r>
    <x v="419"/>
    <x v="195"/>
    <d v="2025-05-10T00:00:00"/>
    <s v="Glass Tile"/>
    <n v="9275.2199999999993"/>
  </r>
  <r>
    <x v="420"/>
    <x v="189"/>
    <d v="2025-11-28T00:00:00"/>
    <s v="Mosaic Tile"/>
    <n v="6822.69"/>
  </r>
  <r>
    <x v="421"/>
    <x v="181"/>
    <d v="2024-03-11T00:00:00"/>
    <s v="Granite Tile"/>
    <n v="7102.92"/>
  </r>
  <r>
    <x v="422"/>
    <x v="176"/>
    <d v="2024-10-04T00:00:00"/>
    <s v="Ceramic Tile"/>
    <n v="3127.95"/>
  </r>
  <r>
    <x v="423"/>
    <x v="190"/>
    <d v="2025-03-22T00:00:00"/>
    <s v="Granite Tile"/>
    <n v="7994.95"/>
  </r>
  <r>
    <x v="424"/>
    <x v="75"/>
    <d v="2024-08-25T00:00:00"/>
    <s v="Ceramic Tile"/>
    <n v="4033.07"/>
  </r>
  <r>
    <x v="425"/>
    <x v="85"/>
    <d v="2024-11-06T00:00:00"/>
    <s v="Vinyl Tile"/>
    <n v="2604.7800000000002"/>
  </r>
  <r>
    <x v="426"/>
    <x v="58"/>
    <d v="2024-08-26T00:00:00"/>
    <s v="Terracotta Tile"/>
    <n v="2690.86"/>
  </r>
  <r>
    <x v="427"/>
    <x v="78"/>
    <d v="2024-05-17T00:00:00"/>
    <s v="Terracotta Tile"/>
    <n v="766.87"/>
  </r>
  <r>
    <x v="428"/>
    <x v="62"/>
    <d v="2025-10-07T00:00:00"/>
    <s v="Marble Tile"/>
    <n v="9431.56"/>
  </r>
  <r>
    <x v="429"/>
    <x v="108"/>
    <d v="2025-07-21T00:00:00"/>
    <s v="Terracotta Tile"/>
    <n v="6073.11"/>
  </r>
  <r>
    <x v="430"/>
    <x v="63"/>
    <d v="2025-11-25T00:00:00"/>
    <s v="Granite Tile"/>
    <n v="7243.19"/>
  </r>
  <r>
    <x v="431"/>
    <x v="121"/>
    <d v="2025-10-14T00:00:00"/>
    <s v="Terracotta Tile"/>
    <n v="3701.91"/>
  </r>
  <r>
    <x v="432"/>
    <x v="139"/>
    <d v="2024-04-07T00:00:00"/>
    <s v="Mosaic Tile"/>
    <n v="3454.02"/>
  </r>
  <r>
    <x v="433"/>
    <x v="21"/>
    <d v="2025-08-26T00:00:00"/>
    <s v="Mosaic Tile"/>
    <n v="9246.3799999999992"/>
  </r>
  <r>
    <x v="434"/>
    <x v="116"/>
    <d v="2025-10-13T00:00:00"/>
    <s v="Porcelain Tile"/>
    <n v="7933.95"/>
  </r>
  <r>
    <x v="435"/>
    <x v="176"/>
    <d v="2025-07-01T00:00:00"/>
    <s v="Mosaic Tile"/>
    <n v="9051.0499999999993"/>
  </r>
  <r>
    <x v="436"/>
    <x v="69"/>
    <d v="2024-09-18T00:00:00"/>
    <s v="Granite Tile"/>
    <n v="3500.57"/>
  </r>
  <r>
    <x v="437"/>
    <x v="101"/>
    <d v="2024-11-26T00:00:00"/>
    <s v="Ceramic Tile"/>
    <n v="5410.33"/>
  </r>
  <r>
    <x v="438"/>
    <x v="47"/>
    <d v="2025-07-12T00:00:00"/>
    <s v="Granite Tile"/>
    <n v="6300.62"/>
  </r>
  <r>
    <x v="439"/>
    <x v="185"/>
    <d v="2024-04-07T00:00:00"/>
    <s v="Terracotta Tile"/>
    <n v="7129.9"/>
  </r>
  <r>
    <x v="440"/>
    <x v="200"/>
    <d v="2025-07-20T00:00:00"/>
    <s v="Mosaic Tile"/>
    <n v="383"/>
  </r>
  <r>
    <x v="441"/>
    <x v="95"/>
    <d v="2025-12-08T00:00:00"/>
    <s v="Vinyl Tile"/>
    <n v="1701.06"/>
  </r>
  <r>
    <x v="442"/>
    <x v="76"/>
    <d v="2024-01-27T00:00:00"/>
    <s v="Terracotta Tile"/>
    <n v="3089.16"/>
  </r>
  <r>
    <x v="443"/>
    <x v="112"/>
    <d v="2025-06-15T00:00:00"/>
    <s v="Glass Tile"/>
    <n v="9179.75"/>
  </r>
  <r>
    <x v="444"/>
    <x v="122"/>
    <d v="2024-06-13T00:00:00"/>
    <s v="Terracotta Tile"/>
    <n v="1745.78"/>
  </r>
  <r>
    <x v="445"/>
    <x v="187"/>
    <d v="2024-03-15T00:00:00"/>
    <s v="Marble Tile"/>
    <n v="8402.93"/>
  </r>
  <r>
    <x v="446"/>
    <x v="194"/>
    <d v="2025-03-24T00:00:00"/>
    <s v="Mosaic Tile"/>
    <n v="9992.76"/>
  </r>
  <r>
    <x v="447"/>
    <x v="201"/>
    <d v="2025-09-25T00:00:00"/>
    <s v="Granite Tile"/>
    <n v="6201.41"/>
  </r>
  <r>
    <x v="448"/>
    <x v="18"/>
    <d v="2025-06-17T00:00:00"/>
    <s v="Granite Tile"/>
    <n v="1347.55"/>
  </r>
  <r>
    <x v="449"/>
    <x v="119"/>
    <d v="2024-06-21T00:00:00"/>
    <s v="Marble Tile"/>
    <n v="9935.58"/>
  </r>
  <r>
    <x v="450"/>
    <x v="28"/>
    <d v="2024-04-01T00:00:00"/>
    <s v="Porcelain Tile"/>
    <n v="3375.18"/>
  </r>
  <r>
    <x v="451"/>
    <x v="61"/>
    <d v="2025-01-11T00:00:00"/>
    <s v="Vinyl Tile"/>
    <n v="5830.99"/>
  </r>
  <r>
    <x v="452"/>
    <x v="202"/>
    <d v="2024-01-06T00:00:00"/>
    <s v="Mosaic Tile"/>
    <n v="2454.1799999999998"/>
  </r>
  <r>
    <x v="453"/>
    <x v="14"/>
    <d v="2024-02-19T00:00:00"/>
    <s v="Marble Tile"/>
    <n v="6187.24"/>
  </r>
  <r>
    <x v="454"/>
    <x v="198"/>
    <d v="2024-09-14T00:00:00"/>
    <s v="Glass Tile"/>
    <n v="6729.4"/>
  </r>
  <r>
    <x v="455"/>
    <x v="181"/>
    <d v="2025-04-23T00:00:00"/>
    <s v="Terracotta Tile"/>
    <n v="4252.43"/>
  </r>
  <r>
    <x v="456"/>
    <x v="185"/>
    <d v="2025-06-26T00:00:00"/>
    <s v="Terracotta Tile"/>
    <n v="3730.46"/>
  </r>
  <r>
    <x v="457"/>
    <x v="174"/>
    <d v="2025-02-21T00:00:00"/>
    <s v="Marble Tile"/>
    <n v="8650.11"/>
  </r>
  <r>
    <x v="458"/>
    <x v="131"/>
    <d v="2024-01-22T00:00:00"/>
    <s v="Mosaic Tile"/>
    <n v="3877.5"/>
  </r>
  <r>
    <x v="459"/>
    <x v="88"/>
    <d v="2025-05-01T00:00:00"/>
    <s v="Ceramic Tile"/>
    <n v="5336.1"/>
  </r>
  <r>
    <x v="460"/>
    <x v="77"/>
    <d v="2024-09-10T00:00:00"/>
    <s v="Ceramic Tile"/>
    <n v="2337.1999999999998"/>
  </r>
  <r>
    <x v="461"/>
    <x v="20"/>
    <d v="2025-12-06T00:00:00"/>
    <s v="Marble Tile"/>
    <n v="5580.05"/>
  </r>
  <r>
    <x v="462"/>
    <x v="77"/>
    <d v="2025-08-10T00:00:00"/>
    <s v="Terracotta Tile"/>
    <n v="3193.9"/>
  </r>
  <r>
    <x v="463"/>
    <x v="203"/>
    <d v="2024-09-12T00:00:00"/>
    <s v="Porcelain Tile"/>
    <n v="8873.14"/>
  </r>
  <r>
    <x v="464"/>
    <x v="90"/>
    <d v="2025-09-16T00:00:00"/>
    <s v="Porcelain Tile"/>
    <n v="2506.37"/>
  </r>
  <r>
    <x v="465"/>
    <x v="108"/>
    <d v="2024-08-20T00:00:00"/>
    <s v="Vinyl Tile"/>
    <n v="4069.92"/>
  </r>
  <r>
    <x v="466"/>
    <x v="165"/>
    <d v="2024-08-18T00:00:00"/>
    <s v="Terracotta Tile"/>
    <n v="1366.71"/>
  </r>
  <r>
    <x v="467"/>
    <x v="7"/>
    <d v="2024-12-23T00:00:00"/>
    <s v="Porcelain Tile"/>
    <n v="2694.65"/>
  </r>
  <r>
    <x v="468"/>
    <x v="52"/>
    <d v="2025-11-25T00:00:00"/>
    <s v="Granite Tile"/>
    <n v="3754.22"/>
  </r>
  <r>
    <x v="469"/>
    <x v="47"/>
    <d v="2025-04-27T00:00:00"/>
    <s v="Terracotta Tile"/>
    <n v="6583.29"/>
  </r>
  <r>
    <x v="470"/>
    <x v="146"/>
    <d v="2024-04-02T00:00:00"/>
    <s v="Terracotta Tile"/>
    <n v="5574.08"/>
  </r>
  <r>
    <x v="471"/>
    <x v="74"/>
    <d v="2025-12-02T00:00:00"/>
    <s v="Mosaic Tile"/>
    <n v="9447.1299999999992"/>
  </r>
  <r>
    <x v="472"/>
    <x v="204"/>
    <d v="2024-05-16T00:00:00"/>
    <s v="Glass Tile"/>
    <n v="9972.2999999999993"/>
  </r>
  <r>
    <x v="473"/>
    <x v="205"/>
    <d v="2024-12-25T00:00:00"/>
    <s v="Marble Tile"/>
    <n v="3321.8"/>
  </r>
  <r>
    <x v="474"/>
    <x v="200"/>
    <d v="2024-10-25T00:00:00"/>
    <s v="Granite Tile"/>
    <n v="6660.67"/>
  </r>
  <r>
    <x v="475"/>
    <x v="36"/>
    <d v="2025-08-20T00:00:00"/>
    <s v="Glass Tile"/>
    <n v="2783.23"/>
  </r>
  <r>
    <x v="476"/>
    <x v="74"/>
    <d v="2024-02-19T00:00:00"/>
    <s v="Vinyl Tile"/>
    <n v="6460.26"/>
  </r>
  <r>
    <x v="477"/>
    <x v="33"/>
    <d v="2025-02-23T00:00:00"/>
    <s v="Vinyl Tile"/>
    <n v="4967.42"/>
  </r>
  <r>
    <x v="478"/>
    <x v="191"/>
    <d v="2025-08-17T00:00:00"/>
    <s v="Marble Tile"/>
    <n v="9936.27"/>
  </r>
  <r>
    <x v="479"/>
    <x v="60"/>
    <d v="2025-12-28T00:00:00"/>
    <s v="Granite Tile"/>
    <n v="8593.58"/>
  </r>
  <r>
    <x v="480"/>
    <x v="198"/>
    <d v="2024-12-26T00:00:00"/>
    <s v="Terracotta Tile"/>
    <n v="9440.7000000000007"/>
  </r>
  <r>
    <x v="481"/>
    <x v="177"/>
    <d v="2025-08-12T00:00:00"/>
    <s v="Mosaic Tile"/>
    <n v="3462.79"/>
  </r>
  <r>
    <x v="482"/>
    <x v="157"/>
    <d v="2025-08-03T00:00:00"/>
    <s v="Granite Tile"/>
    <n v="1508.59"/>
  </r>
  <r>
    <x v="483"/>
    <x v="99"/>
    <d v="2025-07-05T00:00:00"/>
    <s v="Granite Tile"/>
    <n v="2128.27"/>
  </r>
  <r>
    <x v="484"/>
    <x v="69"/>
    <d v="2024-02-10T00:00:00"/>
    <s v="Vinyl Tile"/>
    <n v="2922.71"/>
  </r>
  <r>
    <x v="485"/>
    <x v="123"/>
    <d v="2024-09-28T00:00:00"/>
    <s v="Marble Tile"/>
    <n v="2227.6"/>
  </r>
  <r>
    <x v="486"/>
    <x v="105"/>
    <d v="2024-04-24T00:00:00"/>
    <s v="Mosaic Tile"/>
    <n v="1921.05"/>
  </r>
  <r>
    <x v="487"/>
    <x v="206"/>
    <d v="2025-05-18T00:00:00"/>
    <s v="Mosaic Tile"/>
    <n v="7918.36"/>
  </r>
  <r>
    <x v="488"/>
    <x v="29"/>
    <d v="2024-10-01T00:00:00"/>
    <s v="Vinyl Tile"/>
    <n v="5097.51"/>
  </r>
  <r>
    <x v="489"/>
    <x v="168"/>
    <d v="2025-12-06T00:00:00"/>
    <s v="Marble Tile"/>
    <n v="7341.75"/>
  </r>
  <r>
    <x v="490"/>
    <x v="207"/>
    <d v="2024-04-06T00:00:00"/>
    <s v="Granite Tile"/>
    <n v="7950.72"/>
  </r>
  <r>
    <x v="491"/>
    <x v="208"/>
    <d v="2024-09-16T00:00:00"/>
    <s v="Marble Tile"/>
    <n v="1908.39"/>
  </r>
  <r>
    <x v="492"/>
    <x v="98"/>
    <d v="2024-04-14T00:00:00"/>
    <s v="Ceramic Tile"/>
    <n v="8053.06"/>
  </r>
  <r>
    <x v="493"/>
    <x v="209"/>
    <d v="2025-09-28T00:00:00"/>
    <s v="Porcelain Tile"/>
    <n v="6697.75"/>
  </r>
  <r>
    <x v="494"/>
    <x v="11"/>
    <d v="2024-06-25T00:00:00"/>
    <s v="Porcelain Tile"/>
    <n v="1714.7"/>
  </r>
  <r>
    <x v="495"/>
    <x v="138"/>
    <d v="2025-04-29T00:00:00"/>
    <s v="Glass Tile"/>
    <n v="6538.97"/>
  </r>
  <r>
    <x v="496"/>
    <x v="79"/>
    <d v="2024-10-05T00:00:00"/>
    <s v="Granite Tile"/>
    <n v="1153.83"/>
  </r>
  <r>
    <x v="497"/>
    <x v="134"/>
    <d v="2024-05-22T00:00:00"/>
    <s v="Terracotta Tile"/>
    <n v="9096.9699999999993"/>
  </r>
  <r>
    <x v="498"/>
    <x v="210"/>
    <d v="2025-11-13T00:00:00"/>
    <s v="Glass Tile"/>
    <n v="3267.45"/>
  </r>
  <r>
    <x v="499"/>
    <x v="39"/>
    <d v="2025-08-21T00:00:00"/>
    <s v="Vinyl Tile"/>
    <n v="2120.59"/>
  </r>
  <r>
    <x v="500"/>
    <x v="3"/>
    <d v="2024-09-09T00:00:00"/>
    <s v="Glass Tile"/>
    <n v="9083.5300000000007"/>
  </r>
  <r>
    <x v="501"/>
    <x v="41"/>
    <d v="2024-03-23T00:00:00"/>
    <s v="Granite Tile"/>
    <n v="7572.31"/>
  </r>
  <r>
    <x v="502"/>
    <x v="197"/>
    <d v="2024-03-16T00:00:00"/>
    <s v="Mosaic Tile"/>
    <n v="7727.47"/>
  </r>
  <r>
    <x v="503"/>
    <x v="113"/>
    <d v="2025-05-09T00:00:00"/>
    <s v="Glass Tile"/>
    <n v="2430.6"/>
  </r>
  <r>
    <x v="504"/>
    <x v="44"/>
    <d v="2025-11-10T00:00:00"/>
    <s v="Vinyl Tile"/>
    <n v="9860.3700000000008"/>
  </r>
  <r>
    <x v="505"/>
    <x v="42"/>
    <d v="2025-09-19T00:00:00"/>
    <s v="Terracotta Tile"/>
    <n v="8893.17"/>
  </r>
  <r>
    <x v="506"/>
    <x v="133"/>
    <d v="2024-11-17T00:00:00"/>
    <s v="Marble Tile"/>
    <n v="8339.17"/>
  </r>
  <r>
    <x v="507"/>
    <x v="138"/>
    <d v="2025-03-27T00:00:00"/>
    <s v="Terracotta Tile"/>
    <n v="3394.11"/>
  </r>
  <r>
    <x v="508"/>
    <x v="20"/>
    <d v="2024-12-19T00:00:00"/>
    <s v="Mosaic Tile"/>
    <n v="6858.63"/>
  </r>
  <r>
    <x v="509"/>
    <x v="186"/>
    <d v="2024-05-26T00:00:00"/>
    <s v="Marble Tile"/>
    <n v="3519.93"/>
  </r>
  <r>
    <x v="510"/>
    <x v="211"/>
    <d v="2024-08-22T00:00:00"/>
    <s v="Granite Tile"/>
    <n v="9293"/>
  </r>
  <r>
    <x v="511"/>
    <x v="27"/>
    <d v="2024-09-08T00:00:00"/>
    <s v="Porcelain Tile"/>
    <n v="1689.89"/>
  </r>
  <r>
    <x v="512"/>
    <x v="170"/>
    <d v="2025-10-09T00:00:00"/>
    <s v="Granite Tile"/>
    <n v="3232.11"/>
  </r>
  <r>
    <x v="513"/>
    <x v="129"/>
    <d v="2024-02-05T00:00:00"/>
    <s v="Ceramic Tile"/>
    <n v="8198.08"/>
  </r>
  <r>
    <x v="514"/>
    <x v="169"/>
    <d v="2024-12-17T00:00:00"/>
    <s v="Marble Tile"/>
    <n v="2642.26"/>
  </r>
  <r>
    <x v="515"/>
    <x v="212"/>
    <d v="2025-06-16T00:00:00"/>
    <s v="Granite Tile"/>
    <n v="7044.83"/>
  </r>
  <r>
    <x v="516"/>
    <x v="208"/>
    <d v="2024-10-18T00:00:00"/>
    <s v="Mosaic Tile"/>
    <n v="8184.63"/>
  </r>
  <r>
    <x v="517"/>
    <x v="202"/>
    <d v="2025-01-16T00:00:00"/>
    <s v="Terracotta Tile"/>
    <n v="1491.46"/>
  </r>
  <r>
    <x v="518"/>
    <x v="69"/>
    <d v="2025-01-12T00:00:00"/>
    <s v="Terracotta Tile"/>
    <n v="116.41"/>
  </r>
  <r>
    <x v="519"/>
    <x v="139"/>
    <d v="2025-06-30T00:00:00"/>
    <s v="Mosaic Tile"/>
    <n v="7506.67"/>
  </r>
  <r>
    <x v="520"/>
    <x v="164"/>
    <d v="2024-12-25T00:00:00"/>
    <s v="Porcelain Tile"/>
    <n v="2176.13"/>
  </r>
  <r>
    <x v="521"/>
    <x v="213"/>
    <d v="2024-06-19T00:00:00"/>
    <s v="Vinyl Tile"/>
    <n v="9376.43"/>
  </r>
  <r>
    <x v="522"/>
    <x v="161"/>
    <d v="2025-01-24T00:00:00"/>
    <s v="Vinyl Tile"/>
    <n v="6420.23"/>
  </r>
  <r>
    <x v="523"/>
    <x v="8"/>
    <d v="2025-03-28T00:00:00"/>
    <s v="Vinyl Tile"/>
    <n v="4020.3"/>
  </r>
  <r>
    <x v="524"/>
    <x v="101"/>
    <d v="2024-07-31T00:00:00"/>
    <s v="Glass Tile"/>
    <n v="708.75"/>
  </r>
  <r>
    <x v="525"/>
    <x v="86"/>
    <d v="2025-07-22T00:00:00"/>
    <s v="Porcelain Tile"/>
    <n v="4281.1899999999996"/>
  </r>
  <r>
    <x v="526"/>
    <x v="209"/>
    <d v="2024-08-03T00:00:00"/>
    <s v="Vinyl Tile"/>
    <n v="5880.17"/>
  </r>
  <r>
    <x v="527"/>
    <x v="214"/>
    <d v="2025-12-21T00:00:00"/>
    <s v="Granite Tile"/>
    <n v="3322.77"/>
  </r>
  <r>
    <x v="528"/>
    <x v="131"/>
    <d v="2025-12-19T00:00:00"/>
    <s v="Mosaic Tile"/>
    <n v="6827.36"/>
  </r>
  <r>
    <x v="529"/>
    <x v="21"/>
    <d v="2025-12-18T00:00:00"/>
    <s v="Mosaic Tile"/>
    <n v="4018.34"/>
  </r>
  <r>
    <x v="530"/>
    <x v="152"/>
    <d v="2024-07-28T00:00:00"/>
    <s v="Granite Tile"/>
    <n v="6651.39"/>
  </r>
  <r>
    <x v="531"/>
    <x v="215"/>
    <d v="2025-08-12T00:00:00"/>
    <s v="Terracotta Tile"/>
    <n v="3969.21"/>
  </r>
  <r>
    <x v="532"/>
    <x v="3"/>
    <d v="2025-06-04T00:00:00"/>
    <s v="Granite Tile"/>
    <n v="7866.91"/>
  </r>
  <r>
    <x v="533"/>
    <x v="165"/>
    <d v="2025-11-24T00:00:00"/>
    <s v="Marble Tile"/>
    <n v="6986.8"/>
  </r>
  <r>
    <x v="534"/>
    <x v="87"/>
    <d v="2024-08-15T00:00:00"/>
    <s v="Granite Tile"/>
    <n v="6950.48"/>
  </r>
  <r>
    <x v="535"/>
    <x v="162"/>
    <d v="2025-07-31T00:00:00"/>
    <s v="Terracotta Tile"/>
    <n v="6582.32"/>
  </r>
  <r>
    <x v="536"/>
    <x v="47"/>
    <d v="2024-09-23T00:00:00"/>
    <s v="Porcelain Tile"/>
    <n v="3642.61"/>
  </r>
  <r>
    <x v="537"/>
    <x v="216"/>
    <d v="2025-05-03T00:00:00"/>
    <s v="Mosaic Tile"/>
    <n v="998.77"/>
  </r>
  <r>
    <x v="538"/>
    <x v="15"/>
    <d v="2024-08-14T00:00:00"/>
    <s v="Marble Tile"/>
    <n v="5290.47"/>
  </r>
  <r>
    <x v="539"/>
    <x v="145"/>
    <d v="2025-07-11T00:00:00"/>
    <s v="Ceramic Tile"/>
    <n v="7998.91"/>
  </r>
  <r>
    <x v="540"/>
    <x v="147"/>
    <d v="2025-03-18T00:00:00"/>
    <s v="Terracotta Tile"/>
    <n v="1458.05"/>
  </r>
  <r>
    <x v="541"/>
    <x v="173"/>
    <d v="2024-06-11T00:00:00"/>
    <s v="Granite Tile"/>
    <n v="9849.35"/>
  </r>
  <r>
    <x v="542"/>
    <x v="180"/>
    <d v="2024-06-25T00:00:00"/>
    <s v="Vinyl Tile"/>
    <n v="9030.5499999999993"/>
  </r>
  <r>
    <x v="543"/>
    <x v="217"/>
    <d v="2024-09-18T00:00:00"/>
    <s v="Glass Tile"/>
    <n v="6166.44"/>
  </r>
  <r>
    <x v="544"/>
    <x v="23"/>
    <d v="2025-08-26T00:00:00"/>
    <s v="Glass Tile"/>
    <n v="1123.8800000000001"/>
  </r>
  <r>
    <x v="545"/>
    <x v="83"/>
    <d v="2024-05-29T00:00:00"/>
    <s v="Marble Tile"/>
    <n v="8819.84"/>
  </r>
  <r>
    <x v="546"/>
    <x v="19"/>
    <d v="2025-01-14T00:00:00"/>
    <s v="Glass Tile"/>
    <n v="6316.06"/>
  </r>
  <r>
    <x v="547"/>
    <x v="34"/>
    <d v="2025-10-26T00:00:00"/>
    <s v="Mosaic Tile"/>
    <n v="8055.79"/>
  </r>
  <r>
    <x v="548"/>
    <x v="140"/>
    <d v="2025-04-24T00:00:00"/>
    <s v="Ceramic Tile"/>
    <n v="2407.17"/>
  </r>
  <r>
    <x v="549"/>
    <x v="21"/>
    <d v="2024-02-02T00:00:00"/>
    <s v="Glass Tile"/>
    <n v="4146.6499999999996"/>
  </r>
  <r>
    <x v="550"/>
    <x v="32"/>
    <d v="2024-01-20T00:00:00"/>
    <s v="Terracotta Tile"/>
    <n v="639.95000000000005"/>
  </r>
  <r>
    <x v="551"/>
    <x v="134"/>
    <d v="2024-10-20T00:00:00"/>
    <s v="Ceramic Tile"/>
    <n v="6199.34"/>
  </r>
  <r>
    <x v="552"/>
    <x v="89"/>
    <d v="2025-12-11T00:00:00"/>
    <s v="Vinyl Tile"/>
    <n v="2341.52"/>
  </r>
  <r>
    <x v="553"/>
    <x v="131"/>
    <d v="2024-09-24T00:00:00"/>
    <s v="Marble Tile"/>
    <n v="7357.41"/>
  </r>
  <r>
    <x v="554"/>
    <x v="218"/>
    <d v="2024-02-01T00:00:00"/>
    <s v="Marble Tile"/>
    <n v="5524.27"/>
  </r>
  <r>
    <x v="555"/>
    <x v="219"/>
    <d v="2025-03-02T00:00:00"/>
    <s v="Terracotta Tile"/>
    <n v="5200.74"/>
  </r>
  <r>
    <x v="556"/>
    <x v="220"/>
    <d v="2024-12-26T00:00:00"/>
    <s v="Glass Tile"/>
    <n v="5763.74"/>
  </r>
  <r>
    <x v="557"/>
    <x v="169"/>
    <d v="2024-09-28T00:00:00"/>
    <s v="Ceramic Tile"/>
    <n v="5301.25"/>
  </r>
  <r>
    <x v="558"/>
    <x v="149"/>
    <d v="2024-04-15T00:00:00"/>
    <s v="Marble Tile"/>
    <n v="6584.3"/>
  </r>
  <r>
    <x v="559"/>
    <x v="113"/>
    <d v="2024-11-13T00:00:00"/>
    <s v="Vinyl Tile"/>
    <n v="6797.55"/>
  </r>
  <r>
    <x v="560"/>
    <x v="156"/>
    <d v="2024-01-13T00:00:00"/>
    <s v="Vinyl Tile"/>
    <n v="6565.34"/>
  </r>
  <r>
    <x v="561"/>
    <x v="144"/>
    <d v="2025-01-23T00:00:00"/>
    <s v="Glass Tile"/>
    <n v="4039.98"/>
  </r>
  <r>
    <x v="562"/>
    <x v="108"/>
    <d v="2024-05-06T00:00:00"/>
    <s v="Vinyl Tile"/>
    <n v="2765.5"/>
  </r>
  <r>
    <x v="563"/>
    <x v="138"/>
    <d v="2024-04-14T00:00:00"/>
    <s v="Terracotta Tile"/>
    <n v="2238.11"/>
  </r>
  <r>
    <x v="564"/>
    <x v="214"/>
    <d v="2024-09-03T00:00:00"/>
    <s v="Ceramic Tile"/>
    <n v="6331.9"/>
  </r>
  <r>
    <x v="565"/>
    <x v="218"/>
    <d v="2025-03-29T00:00:00"/>
    <s v="Vinyl Tile"/>
    <n v="2672.74"/>
  </r>
  <r>
    <x v="566"/>
    <x v="40"/>
    <d v="2024-04-24T00:00:00"/>
    <s v="Mosaic Tile"/>
    <n v="7442.86"/>
  </r>
  <r>
    <x v="567"/>
    <x v="221"/>
    <d v="2024-04-18T00:00:00"/>
    <s v="Glass Tile"/>
    <n v="6488.87"/>
  </r>
  <r>
    <x v="568"/>
    <x v="80"/>
    <d v="2024-12-03T00:00:00"/>
    <s v="Ceramic Tile"/>
    <n v="8586.42"/>
  </r>
  <r>
    <x v="569"/>
    <x v="57"/>
    <d v="2024-08-11T00:00:00"/>
    <s v="Terracotta Tile"/>
    <n v="2047.26"/>
  </r>
  <r>
    <x v="570"/>
    <x v="169"/>
    <d v="2025-07-01T00:00:00"/>
    <s v="Mosaic Tile"/>
    <n v="4929.6899999999996"/>
  </r>
  <r>
    <x v="571"/>
    <x v="151"/>
    <d v="2025-10-19T00:00:00"/>
    <s v="Granite Tile"/>
    <n v="4286.2"/>
  </r>
  <r>
    <x v="572"/>
    <x v="136"/>
    <d v="2024-08-10T00:00:00"/>
    <s v="Granite Tile"/>
    <n v="5088.3999999999996"/>
  </r>
  <r>
    <x v="573"/>
    <x v="43"/>
    <d v="2024-04-27T00:00:00"/>
    <s v="Granite Tile"/>
    <n v="266.89"/>
  </r>
  <r>
    <x v="574"/>
    <x v="109"/>
    <d v="2024-03-29T00:00:00"/>
    <s v="Marble Tile"/>
    <n v="6882.84"/>
  </r>
  <r>
    <x v="575"/>
    <x v="60"/>
    <d v="2025-11-17T00:00:00"/>
    <s v="Marble Tile"/>
    <n v="6871.8"/>
  </r>
  <r>
    <x v="576"/>
    <x v="131"/>
    <d v="2025-10-20T00:00:00"/>
    <s v="Ceramic Tile"/>
    <n v="1835.6"/>
  </r>
  <r>
    <x v="577"/>
    <x v="160"/>
    <d v="2024-06-05T00:00:00"/>
    <s v="Granite Tile"/>
    <n v="438.83"/>
  </r>
  <r>
    <x v="578"/>
    <x v="174"/>
    <d v="2025-04-09T00:00:00"/>
    <s v="Glass Tile"/>
    <n v="2381.6"/>
  </r>
  <r>
    <x v="579"/>
    <x v="67"/>
    <d v="2024-07-28T00:00:00"/>
    <s v="Marble Tile"/>
    <n v="3470.51"/>
  </r>
  <r>
    <x v="580"/>
    <x v="182"/>
    <d v="2024-11-23T00:00:00"/>
    <s v="Granite Tile"/>
    <n v="381.96"/>
  </r>
  <r>
    <x v="581"/>
    <x v="138"/>
    <d v="2025-08-08T00:00:00"/>
    <s v="Vinyl Tile"/>
    <n v="4316.0600000000004"/>
  </r>
  <r>
    <x v="582"/>
    <x v="103"/>
    <d v="2024-12-13T00:00:00"/>
    <s v="Porcelain Tile"/>
    <n v="600.15"/>
  </r>
  <r>
    <x v="583"/>
    <x v="222"/>
    <d v="2024-08-28T00:00:00"/>
    <s v="Vinyl Tile"/>
    <n v="8156.77"/>
  </r>
  <r>
    <x v="584"/>
    <x v="161"/>
    <d v="2025-11-12T00:00:00"/>
    <s v="Vinyl Tile"/>
    <n v="7916.8"/>
  </r>
  <r>
    <x v="585"/>
    <x v="192"/>
    <d v="2025-07-07T00:00:00"/>
    <s v="Marble Tile"/>
    <n v="8184.33"/>
  </r>
  <r>
    <x v="586"/>
    <x v="87"/>
    <d v="2025-12-08T00:00:00"/>
    <s v="Glass Tile"/>
    <n v="4737.07"/>
  </r>
  <r>
    <x v="587"/>
    <x v="201"/>
    <d v="2024-04-11T00:00:00"/>
    <s v="Mosaic Tile"/>
    <n v="4071.93"/>
  </r>
  <r>
    <x v="588"/>
    <x v="12"/>
    <d v="2024-03-17T00:00:00"/>
    <s v="Terracotta Tile"/>
    <n v="458.73"/>
  </r>
  <r>
    <x v="589"/>
    <x v="217"/>
    <d v="2024-12-14T00:00:00"/>
    <s v="Mosaic Tile"/>
    <n v="8595.4699999999993"/>
  </r>
  <r>
    <x v="590"/>
    <x v="211"/>
    <d v="2024-08-22T00:00:00"/>
    <s v="Terracotta Tile"/>
    <n v="1668.71"/>
  </r>
  <r>
    <x v="591"/>
    <x v="150"/>
    <d v="2025-03-06T00:00:00"/>
    <s v="Vinyl Tile"/>
    <n v="3421.58"/>
  </r>
  <r>
    <x v="592"/>
    <x v="51"/>
    <d v="2025-11-18T00:00:00"/>
    <s v="Terracotta Tile"/>
    <n v="5941.64"/>
  </r>
  <r>
    <x v="593"/>
    <x v="179"/>
    <d v="2025-12-15T00:00:00"/>
    <s v="Mosaic Tile"/>
    <n v="5211.58"/>
  </r>
  <r>
    <x v="594"/>
    <x v="60"/>
    <d v="2025-09-26T00:00:00"/>
    <s v="Marble Tile"/>
    <n v="1333.38"/>
  </r>
  <r>
    <x v="595"/>
    <x v="40"/>
    <d v="2025-06-01T00:00:00"/>
    <s v="Marble Tile"/>
    <n v="9244.83"/>
  </r>
  <r>
    <x v="596"/>
    <x v="126"/>
    <d v="2024-02-09T00:00:00"/>
    <s v="Glass Tile"/>
    <n v="6679.74"/>
  </r>
  <r>
    <x v="597"/>
    <x v="142"/>
    <d v="2024-07-16T00:00:00"/>
    <s v="Ceramic Tile"/>
    <n v="1443.67"/>
  </r>
  <r>
    <x v="598"/>
    <x v="156"/>
    <d v="2024-06-26T00:00:00"/>
    <s v="Marble Tile"/>
    <n v="9549.76"/>
  </r>
  <r>
    <x v="599"/>
    <x v="156"/>
    <d v="2024-01-09T00:00:00"/>
    <s v="Porcelain Tile"/>
    <n v="3035.01"/>
  </r>
  <r>
    <x v="600"/>
    <x v="120"/>
    <d v="2025-12-02T00:00:00"/>
    <s v="Vinyl Tile"/>
    <n v="536.08000000000004"/>
  </r>
  <r>
    <x v="601"/>
    <x v="26"/>
    <d v="2025-10-24T00:00:00"/>
    <s v="Marble Tile"/>
    <n v="459.87"/>
  </r>
  <r>
    <x v="602"/>
    <x v="46"/>
    <d v="2024-06-25T00:00:00"/>
    <s v="Granite Tile"/>
    <n v="5119.13"/>
  </r>
  <r>
    <x v="603"/>
    <x v="197"/>
    <d v="2024-09-25T00:00:00"/>
    <s v="Ceramic Tile"/>
    <n v="7981.15"/>
  </r>
  <r>
    <x v="604"/>
    <x v="31"/>
    <d v="2025-02-06T00:00:00"/>
    <s v="Porcelain Tile"/>
    <n v="2648.36"/>
  </r>
  <r>
    <x v="605"/>
    <x v="150"/>
    <d v="2024-04-07T00:00:00"/>
    <s v="Mosaic Tile"/>
    <n v="2455.23"/>
  </r>
  <r>
    <x v="606"/>
    <x v="223"/>
    <d v="2025-01-31T00:00:00"/>
    <s v="Vinyl Tile"/>
    <n v="4273.0200000000004"/>
  </r>
  <r>
    <x v="607"/>
    <x v="209"/>
    <d v="2024-02-02T00:00:00"/>
    <s v="Ceramic Tile"/>
    <n v="7259.34"/>
  </r>
  <r>
    <x v="608"/>
    <x v="175"/>
    <d v="2024-09-07T00:00:00"/>
    <s v="Vinyl Tile"/>
    <n v="1407.39"/>
  </r>
  <r>
    <x v="609"/>
    <x v="162"/>
    <d v="2025-11-11T00:00:00"/>
    <s v="Porcelain Tile"/>
    <n v="1634.09"/>
  </r>
  <r>
    <x v="610"/>
    <x v="95"/>
    <d v="2025-05-10T00:00:00"/>
    <s v="Mosaic Tile"/>
    <n v="3831.64"/>
  </r>
  <r>
    <x v="611"/>
    <x v="166"/>
    <d v="2024-09-03T00:00:00"/>
    <s v="Mosaic Tile"/>
    <n v="3426.87"/>
  </r>
  <r>
    <x v="612"/>
    <x v="126"/>
    <d v="2025-02-26T00:00:00"/>
    <s v="Terracotta Tile"/>
    <n v="2686.06"/>
  </r>
  <r>
    <x v="613"/>
    <x v="224"/>
    <d v="2024-05-10T00:00:00"/>
    <s v="Vinyl Tile"/>
    <n v="1414.04"/>
  </r>
  <r>
    <x v="614"/>
    <x v="225"/>
    <d v="2024-05-09T00:00:00"/>
    <s v="Glass Tile"/>
    <n v="4441.8100000000004"/>
  </r>
  <r>
    <x v="615"/>
    <x v="119"/>
    <d v="2024-09-03T00:00:00"/>
    <s v="Granite Tile"/>
    <n v="9835.89"/>
  </r>
  <r>
    <x v="616"/>
    <x v="31"/>
    <d v="2024-02-01T00:00:00"/>
    <s v="Vinyl Tile"/>
    <n v="7672.92"/>
  </r>
  <r>
    <x v="617"/>
    <x v="162"/>
    <d v="2024-05-08T00:00:00"/>
    <s v="Mosaic Tile"/>
    <n v="5489.91"/>
  </r>
  <r>
    <x v="618"/>
    <x v="200"/>
    <d v="2024-01-26T00:00:00"/>
    <s v="Ceramic Tile"/>
    <n v="1509.85"/>
  </r>
  <r>
    <x v="619"/>
    <x v="31"/>
    <d v="2024-09-25T00:00:00"/>
    <s v="Ceramic Tile"/>
    <n v="6690.68"/>
  </r>
  <r>
    <x v="620"/>
    <x v="206"/>
    <d v="2025-02-10T00:00:00"/>
    <s v="Mosaic Tile"/>
    <n v="1066.6300000000001"/>
  </r>
  <r>
    <x v="621"/>
    <x v="184"/>
    <d v="2024-07-24T00:00:00"/>
    <s v="Porcelain Tile"/>
    <n v="3985.64"/>
  </r>
  <r>
    <x v="622"/>
    <x v="135"/>
    <d v="2025-05-30T00:00:00"/>
    <s v="Ceramic Tile"/>
    <n v="7726.73"/>
  </r>
  <r>
    <x v="623"/>
    <x v="6"/>
    <d v="2024-11-28T00:00:00"/>
    <s v="Porcelain Tile"/>
    <n v="562.19000000000005"/>
  </r>
  <r>
    <x v="624"/>
    <x v="190"/>
    <d v="2025-06-15T00:00:00"/>
    <s v="Marble Tile"/>
    <n v="9463.9500000000007"/>
  </r>
  <r>
    <x v="625"/>
    <x v="104"/>
    <d v="2025-03-31T00:00:00"/>
    <s v="Marble Tile"/>
    <n v="7349.22"/>
  </r>
  <r>
    <x v="626"/>
    <x v="74"/>
    <d v="2024-03-29T00:00:00"/>
    <s v="Marble Tile"/>
    <n v="7337.61"/>
  </r>
  <r>
    <x v="627"/>
    <x v="94"/>
    <d v="2024-12-19T00:00:00"/>
    <s v="Glass Tile"/>
    <n v="2482"/>
  </r>
  <r>
    <x v="628"/>
    <x v="135"/>
    <d v="2024-05-15T00:00:00"/>
    <s v="Porcelain Tile"/>
    <n v="4316.28"/>
  </r>
  <r>
    <x v="629"/>
    <x v="68"/>
    <d v="2025-12-12T00:00:00"/>
    <s v="Vinyl Tile"/>
    <n v="6560.23"/>
  </r>
  <r>
    <x v="630"/>
    <x v="214"/>
    <d v="2024-11-24T00:00:00"/>
    <s v="Mosaic Tile"/>
    <n v="1581.67"/>
  </r>
  <r>
    <x v="631"/>
    <x v="132"/>
    <d v="2024-02-29T00:00:00"/>
    <s v="Terracotta Tile"/>
    <n v="7809.28"/>
  </r>
  <r>
    <x v="632"/>
    <x v="144"/>
    <d v="2025-07-04T00:00:00"/>
    <s v="Porcelain Tile"/>
    <n v="3867.29"/>
  </r>
  <r>
    <x v="633"/>
    <x v="154"/>
    <d v="2024-03-15T00:00:00"/>
    <s v="Ceramic Tile"/>
    <n v="4252.09"/>
  </r>
  <r>
    <x v="634"/>
    <x v="177"/>
    <d v="2025-03-12T00:00:00"/>
    <s v="Glass Tile"/>
    <n v="3103.15"/>
  </r>
  <r>
    <x v="635"/>
    <x v="56"/>
    <d v="2024-08-19T00:00:00"/>
    <s v="Mosaic Tile"/>
    <n v="1362.42"/>
  </r>
  <r>
    <x v="636"/>
    <x v="12"/>
    <d v="2025-01-19T00:00:00"/>
    <s v="Mosaic Tile"/>
    <n v="8758.08"/>
  </r>
  <r>
    <x v="637"/>
    <x v="221"/>
    <d v="2024-04-22T00:00:00"/>
    <s v="Ceramic Tile"/>
    <n v="8171.44"/>
  </r>
  <r>
    <x v="638"/>
    <x v="226"/>
    <d v="2025-03-29T00:00:00"/>
    <s v="Terracotta Tile"/>
    <n v="567.35"/>
  </r>
  <r>
    <x v="639"/>
    <x v="163"/>
    <d v="2024-01-15T00:00:00"/>
    <s v="Porcelain Tile"/>
    <n v="8846.67"/>
  </r>
  <r>
    <x v="640"/>
    <x v="196"/>
    <d v="2025-12-01T00:00:00"/>
    <s v="Marble Tile"/>
    <n v="6628.07"/>
  </r>
  <r>
    <x v="641"/>
    <x v="227"/>
    <d v="2025-06-17T00:00:00"/>
    <s v="Granite Tile"/>
    <n v="4848.0600000000004"/>
  </r>
  <r>
    <x v="642"/>
    <x v="176"/>
    <d v="2025-11-11T00:00:00"/>
    <s v="Porcelain Tile"/>
    <n v="647.45000000000005"/>
  </r>
  <r>
    <x v="643"/>
    <x v="195"/>
    <d v="2024-06-01T00:00:00"/>
    <s v="Glass Tile"/>
    <n v="6327.06"/>
  </r>
  <r>
    <x v="644"/>
    <x v="119"/>
    <d v="2024-02-24T00:00:00"/>
    <s v="Granite Tile"/>
    <n v="4531.29"/>
  </r>
  <r>
    <x v="645"/>
    <x v="21"/>
    <d v="2025-01-22T00:00:00"/>
    <s v="Terracotta Tile"/>
    <n v="4896.1400000000003"/>
  </r>
  <r>
    <x v="646"/>
    <x v="75"/>
    <d v="2025-06-11T00:00:00"/>
    <s v="Marble Tile"/>
    <n v="5039.3599999999997"/>
  </r>
  <r>
    <x v="647"/>
    <x v="168"/>
    <d v="2025-09-22T00:00:00"/>
    <s v="Marble Tile"/>
    <n v="2431.75"/>
  </r>
  <r>
    <x v="648"/>
    <x v="79"/>
    <d v="2025-11-11T00:00:00"/>
    <s v="Glass Tile"/>
    <n v="7581.66"/>
  </r>
  <r>
    <x v="649"/>
    <x v="146"/>
    <d v="2024-12-03T00:00:00"/>
    <s v="Marble Tile"/>
    <n v="4679.76"/>
  </r>
  <r>
    <x v="650"/>
    <x v="131"/>
    <d v="2025-11-03T00:00:00"/>
    <s v="Mosaic Tile"/>
    <n v="8084.58"/>
  </r>
  <r>
    <x v="651"/>
    <x v="218"/>
    <d v="2024-09-13T00:00:00"/>
    <s v="Glass Tile"/>
    <n v="5775.01"/>
  </r>
  <r>
    <x v="652"/>
    <x v="223"/>
    <d v="2024-01-11T00:00:00"/>
    <s v="Mosaic Tile"/>
    <n v="2672.06"/>
  </r>
  <r>
    <x v="653"/>
    <x v="217"/>
    <d v="2024-03-02T00:00:00"/>
    <s v="Ceramic Tile"/>
    <n v="516.04"/>
  </r>
  <r>
    <x v="654"/>
    <x v="119"/>
    <d v="2025-06-10T00:00:00"/>
    <s v="Vinyl Tile"/>
    <n v="6291.27"/>
  </r>
  <r>
    <x v="655"/>
    <x v="139"/>
    <d v="2024-09-17T00:00:00"/>
    <s v="Terracotta Tile"/>
    <n v="6588.57"/>
  </r>
  <r>
    <x v="656"/>
    <x v="193"/>
    <d v="2025-10-01T00:00:00"/>
    <s v="Marble Tile"/>
    <n v="1957.74"/>
  </r>
  <r>
    <x v="657"/>
    <x v="11"/>
    <d v="2024-12-03T00:00:00"/>
    <s v="Glass Tile"/>
    <n v="5394"/>
  </r>
  <r>
    <x v="658"/>
    <x v="168"/>
    <d v="2024-07-12T00:00:00"/>
    <s v="Ceramic Tile"/>
    <n v="4933.82"/>
  </r>
  <r>
    <x v="659"/>
    <x v="182"/>
    <d v="2024-10-25T00:00:00"/>
    <s v="Marble Tile"/>
    <n v="7363.45"/>
  </r>
  <r>
    <x v="660"/>
    <x v="172"/>
    <d v="2024-09-03T00:00:00"/>
    <s v="Mosaic Tile"/>
    <n v="9394.76"/>
  </r>
  <r>
    <x v="661"/>
    <x v="4"/>
    <d v="2024-07-16T00:00:00"/>
    <s v="Terracotta Tile"/>
    <n v="6949.83"/>
  </r>
  <r>
    <x v="662"/>
    <x v="73"/>
    <d v="2025-05-15T00:00:00"/>
    <s v="Porcelain Tile"/>
    <n v="2311.19"/>
  </r>
  <r>
    <x v="663"/>
    <x v="228"/>
    <d v="2024-08-16T00:00:00"/>
    <s v="Mosaic Tile"/>
    <n v="1731.6"/>
  </r>
  <r>
    <x v="664"/>
    <x v="174"/>
    <d v="2024-07-06T00:00:00"/>
    <s v="Marble Tile"/>
    <n v="3153.99"/>
  </r>
  <r>
    <x v="665"/>
    <x v="112"/>
    <d v="2024-01-01T00:00:00"/>
    <s v="Ceramic Tile"/>
    <n v="850.59"/>
  </r>
  <r>
    <x v="666"/>
    <x v="108"/>
    <d v="2025-03-10T00:00:00"/>
    <s v="Ceramic Tile"/>
    <n v="3973.96"/>
  </r>
  <r>
    <x v="667"/>
    <x v="9"/>
    <d v="2025-09-02T00:00:00"/>
    <s v="Terracotta Tile"/>
    <n v="9706.52"/>
  </r>
  <r>
    <x v="668"/>
    <x v="138"/>
    <d v="2025-12-15T00:00:00"/>
    <s v="Terracotta Tile"/>
    <n v="6050.22"/>
  </r>
  <r>
    <x v="669"/>
    <x v="210"/>
    <d v="2025-09-08T00:00:00"/>
    <s v="Vinyl Tile"/>
    <n v="8887.84"/>
  </r>
  <r>
    <x v="670"/>
    <x v="175"/>
    <d v="2025-09-27T00:00:00"/>
    <s v="Vinyl Tile"/>
    <n v="6964.65"/>
  </r>
  <r>
    <x v="671"/>
    <x v="203"/>
    <d v="2024-03-26T00:00:00"/>
    <s v="Glass Tile"/>
    <n v="8187.16"/>
  </r>
  <r>
    <x v="672"/>
    <x v="125"/>
    <d v="2024-04-12T00:00:00"/>
    <s v="Ceramic Tile"/>
    <n v="5590.73"/>
  </r>
  <r>
    <x v="673"/>
    <x v="12"/>
    <d v="2025-06-29T00:00:00"/>
    <s v="Vinyl Tile"/>
    <n v="988.9"/>
  </r>
  <r>
    <x v="674"/>
    <x v="173"/>
    <d v="2025-01-14T00:00:00"/>
    <s v="Vinyl Tile"/>
    <n v="8708.2900000000009"/>
  </r>
  <r>
    <x v="675"/>
    <x v="179"/>
    <d v="2025-08-22T00:00:00"/>
    <s v="Glass Tile"/>
    <n v="1146.4100000000001"/>
  </r>
  <r>
    <x v="676"/>
    <x v="106"/>
    <d v="2024-09-08T00:00:00"/>
    <s v="Glass Tile"/>
    <n v="8907.2199999999993"/>
  </r>
  <r>
    <x v="677"/>
    <x v="207"/>
    <d v="2025-12-28T00:00:00"/>
    <s v="Mosaic Tile"/>
    <n v="3308.27"/>
  </r>
  <r>
    <x v="678"/>
    <x v="49"/>
    <d v="2025-01-12T00:00:00"/>
    <s v="Marble Tile"/>
    <n v="8668.58"/>
  </r>
  <r>
    <x v="679"/>
    <x v="161"/>
    <d v="2025-08-15T00:00:00"/>
    <s v="Mosaic Tile"/>
    <n v="5804.87"/>
  </r>
  <r>
    <x v="680"/>
    <x v="41"/>
    <d v="2024-09-20T00:00:00"/>
    <s v="Glass Tile"/>
    <n v="8843.11"/>
  </r>
  <r>
    <x v="681"/>
    <x v="127"/>
    <d v="2025-12-09T00:00:00"/>
    <s v="Terracotta Tile"/>
    <n v="5311.93"/>
  </r>
  <r>
    <x v="682"/>
    <x v="162"/>
    <d v="2025-07-11T00:00:00"/>
    <s v="Marble Tile"/>
    <n v="2812.6"/>
  </r>
  <r>
    <x v="683"/>
    <x v="56"/>
    <d v="2024-08-07T00:00:00"/>
    <s v="Porcelain Tile"/>
    <n v="7403.43"/>
  </r>
  <r>
    <x v="684"/>
    <x v="35"/>
    <d v="2024-04-15T00:00:00"/>
    <s v="Ceramic Tile"/>
    <n v="1056.92"/>
  </r>
  <r>
    <x v="685"/>
    <x v="19"/>
    <d v="2025-07-27T00:00:00"/>
    <s v="Vinyl Tile"/>
    <n v="6333.36"/>
  </r>
  <r>
    <x v="686"/>
    <x v="32"/>
    <d v="2025-05-31T00:00:00"/>
    <s v="Porcelain Tile"/>
    <n v="5727.58"/>
  </r>
  <r>
    <x v="687"/>
    <x v="108"/>
    <d v="2025-11-14T00:00:00"/>
    <s v="Terracotta Tile"/>
    <n v="8596.41"/>
  </r>
  <r>
    <x v="688"/>
    <x v="218"/>
    <d v="2025-07-10T00:00:00"/>
    <s v="Ceramic Tile"/>
    <n v="9192.19"/>
  </r>
  <r>
    <x v="689"/>
    <x v="147"/>
    <d v="2025-04-24T00:00:00"/>
    <s v="Porcelain Tile"/>
    <n v="7331.64"/>
  </r>
  <r>
    <x v="690"/>
    <x v="172"/>
    <d v="2025-12-18T00:00:00"/>
    <s v="Mosaic Tile"/>
    <n v="9964.6"/>
  </r>
  <r>
    <x v="691"/>
    <x v="86"/>
    <d v="2024-11-19T00:00:00"/>
    <s v="Marble Tile"/>
    <n v="1387.12"/>
  </r>
  <r>
    <x v="692"/>
    <x v="116"/>
    <d v="2025-06-04T00:00:00"/>
    <s v="Glass Tile"/>
    <n v="1497.79"/>
  </r>
  <r>
    <x v="693"/>
    <x v="197"/>
    <d v="2024-06-06T00:00:00"/>
    <s v="Granite Tile"/>
    <n v="4398.95"/>
  </r>
  <r>
    <x v="694"/>
    <x v="164"/>
    <d v="2025-08-24T00:00:00"/>
    <s v="Terracotta Tile"/>
    <n v="8337.18"/>
  </r>
  <r>
    <x v="695"/>
    <x v="194"/>
    <d v="2025-12-02T00:00:00"/>
    <s v="Granite Tile"/>
    <n v="9194.01"/>
  </r>
  <r>
    <x v="696"/>
    <x v="36"/>
    <d v="2025-12-01T00:00:00"/>
    <s v="Ceramic Tile"/>
    <n v="4456.8599999999997"/>
  </r>
  <r>
    <x v="697"/>
    <x v="53"/>
    <d v="2024-01-10T00:00:00"/>
    <s v="Terracotta Tile"/>
    <n v="600.36"/>
  </r>
  <r>
    <x v="698"/>
    <x v="192"/>
    <d v="2025-03-29T00:00:00"/>
    <s v="Terracotta Tile"/>
    <n v="3201.76"/>
  </r>
  <r>
    <x v="699"/>
    <x v="178"/>
    <d v="2025-11-04T00:00:00"/>
    <s v="Glass Tile"/>
    <n v="7225.72"/>
  </r>
  <r>
    <x v="700"/>
    <x v="215"/>
    <d v="2025-07-14T00:00:00"/>
    <s v="Vinyl Tile"/>
    <n v="3118.11"/>
  </r>
  <r>
    <x v="701"/>
    <x v="28"/>
    <d v="2025-01-10T00:00:00"/>
    <s v="Ceramic Tile"/>
    <n v="1250.8"/>
  </r>
  <r>
    <x v="702"/>
    <x v="177"/>
    <d v="2024-12-01T00:00:00"/>
    <s v="Vinyl Tile"/>
    <n v="5974.33"/>
  </r>
  <r>
    <x v="703"/>
    <x v="22"/>
    <d v="2025-09-08T00:00:00"/>
    <s v="Marble Tile"/>
    <n v="1339.36"/>
  </r>
  <r>
    <x v="704"/>
    <x v="182"/>
    <d v="2025-12-24T00:00:00"/>
    <s v="Mosaic Tile"/>
    <n v="8943.0499999999993"/>
  </r>
  <r>
    <x v="705"/>
    <x v="229"/>
    <d v="2025-01-25T00:00:00"/>
    <s v="Vinyl Tile"/>
    <n v="7499.56"/>
  </r>
  <r>
    <x v="706"/>
    <x v="209"/>
    <d v="2025-12-01T00:00:00"/>
    <s v="Granite Tile"/>
    <n v="739.99"/>
  </r>
  <r>
    <x v="707"/>
    <x v="107"/>
    <d v="2025-01-19T00:00:00"/>
    <s v="Granite Tile"/>
    <n v="8323.2099999999991"/>
  </r>
  <r>
    <x v="708"/>
    <x v="230"/>
    <d v="2025-06-23T00:00:00"/>
    <s v="Marble Tile"/>
    <n v="6186.57"/>
  </r>
  <r>
    <x v="709"/>
    <x v="215"/>
    <d v="2024-10-11T00:00:00"/>
    <s v="Granite Tile"/>
    <n v="2928.76"/>
  </r>
  <r>
    <x v="710"/>
    <x v="199"/>
    <d v="2024-05-26T00:00:00"/>
    <s v="Ceramic Tile"/>
    <n v="2658.24"/>
  </r>
  <r>
    <x v="711"/>
    <x v="231"/>
    <d v="2025-01-27T00:00:00"/>
    <s v="Granite Tile"/>
    <n v="3182.53"/>
  </r>
  <r>
    <x v="712"/>
    <x v="120"/>
    <d v="2025-07-10T00:00:00"/>
    <s v="Terracotta Tile"/>
    <n v="4975.17"/>
  </r>
  <r>
    <x v="713"/>
    <x v="33"/>
    <d v="2025-02-04T00:00:00"/>
    <s v="Mosaic Tile"/>
    <n v="5970.29"/>
  </r>
  <r>
    <x v="714"/>
    <x v="121"/>
    <d v="2024-09-03T00:00:00"/>
    <s v="Granite Tile"/>
    <n v="3956.93"/>
  </r>
  <r>
    <x v="715"/>
    <x v="115"/>
    <d v="2024-12-12T00:00:00"/>
    <s v="Porcelain Tile"/>
    <n v="4858.92"/>
  </r>
  <r>
    <x v="716"/>
    <x v="67"/>
    <d v="2025-01-28T00:00:00"/>
    <s v="Vinyl Tile"/>
    <n v="8257.0499999999993"/>
  </r>
  <r>
    <x v="717"/>
    <x v="103"/>
    <d v="2025-03-06T00:00:00"/>
    <s v="Granite Tile"/>
    <n v="2366.1"/>
  </r>
  <r>
    <x v="718"/>
    <x v="232"/>
    <d v="2025-10-03T00:00:00"/>
    <s v="Terracotta Tile"/>
    <n v="3037.68"/>
  </r>
  <r>
    <x v="719"/>
    <x v="136"/>
    <d v="2024-05-09T00:00:00"/>
    <s v="Marble Tile"/>
    <n v="6888.02"/>
  </r>
  <r>
    <x v="720"/>
    <x v="12"/>
    <d v="2025-01-01T00:00:00"/>
    <s v="Granite Tile"/>
    <n v="6026.21"/>
  </r>
  <r>
    <x v="721"/>
    <x v="225"/>
    <d v="2024-02-07T00:00:00"/>
    <s v="Granite Tile"/>
    <n v="1959.08"/>
  </r>
  <r>
    <x v="722"/>
    <x v="119"/>
    <d v="2025-01-21T00:00:00"/>
    <s v="Granite Tile"/>
    <n v="4049.14"/>
  </r>
  <r>
    <x v="723"/>
    <x v="175"/>
    <d v="2024-02-02T00:00:00"/>
    <s v="Porcelain Tile"/>
    <n v="4089.67"/>
  </r>
  <r>
    <x v="724"/>
    <x v="65"/>
    <d v="2025-08-22T00:00:00"/>
    <s v="Marble Tile"/>
    <n v="2624.91"/>
  </r>
  <r>
    <x v="725"/>
    <x v="201"/>
    <d v="2024-03-28T00:00:00"/>
    <s v="Terracotta Tile"/>
    <n v="8157.25"/>
  </r>
  <r>
    <x v="726"/>
    <x v="14"/>
    <d v="2025-05-14T00:00:00"/>
    <s v="Marble Tile"/>
    <n v="9157.15"/>
  </r>
  <r>
    <x v="727"/>
    <x v="141"/>
    <d v="2024-05-14T00:00:00"/>
    <s v="Marble Tile"/>
    <n v="2853.43"/>
  </r>
  <r>
    <x v="728"/>
    <x v="32"/>
    <d v="2025-03-31T00:00:00"/>
    <s v="Granite Tile"/>
    <n v="1197.28"/>
  </r>
  <r>
    <x v="729"/>
    <x v="54"/>
    <d v="2025-11-28T00:00:00"/>
    <s v="Ceramic Tile"/>
    <n v="5549.03"/>
  </r>
  <r>
    <x v="730"/>
    <x v="115"/>
    <d v="2025-06-08T00:00:00"/>
    <s v="Marble Tile"/>
    <n v="5185.54"/>
  </r>
  <r>
    <x v="731"/>
    <x v="116"/>
    <d v="2024-11-14T00:00:00"/>
    <s v="Glass Tile"/>
    <n v="8593.93"/>
  </r>
  <r>
    <x v="732"/>
    <x v="84"/>
    <d v="2025-09-21T00:00:00"/>
    <s v="Glass Tile"/>
    <n v="3407.06"/>
  </r>
  <r>
    <x v="733"/>
    <x v="30"/>
    <d v="2024-11-03T00:00:00"/>
    <s v="Ceramic Tile"/>
    <n v="8079.57"/>
  </r>
  <r>
    <x v="734"/>
    <x v="204"/>
    <d v="2024-07-31T00:00:00"/>
    <s v="Terracotta Tile"/>
    <n v="5676.24"/>
  </r>
  <r>
    <x v="735"/>
    <x v="230"/>
    <d v="2025-11-11T00:00:00"/>
    <s v="Mosaic Tile"/>
    <n v="2629.89"/>
  </r>
  <r>
    <x v="736"/>
    <x v="59"/>
    <d v="2024-08-21T00:00:00"/>
    <s v="Terracotta Tile"/>
    <n v="2929.83"/>
  </r>
  <r>
    <x v="737"/>
    <x v="154"/>
    <d v="2025-01-12T00:00:00"/>
    <s v="Vinyl Tile"/>
    <n v="568.79"/>
  </r>
  <r>
    <x v="738"/>
    <x v="81"/>
    <d v="2024-04-12T00:00:00"/>
    <s v="Marble Tile"/>
    <n v="6743.25"/>
  </r>
  <r>
    <x v="739"/>
    <x v="224"/>
    <d v="2024-08-31T00:00:00"/>
    <s v="Granite Tile"/>
    <n v="3448.65"/>
  </r>
  <r>
    <x v="740"/>
    <x v="192"/>
    <d v="2025-07-15T00:00:00"/>
    <s v="Porcelain Tile"/>
    <n v="3791.62"/>
  </r>
  <r>
    <x v="741"/>
    <x v="78"/>
    <d v="2024-01-31T00:00:00"/>
    <s v="Granite Tile"/>
    <n v="5998.92"/>
  </r>
  <r>
    <x v="742"/>
    <x v="159"/>
    <d v="2025-10-15T00:00:00"/>
    <s v="Granite Tile"/>
    <n v="7466.55"/>
  </r>
  <r>
    <x v="743"/>
    <x v="6"/>
    <d v="2024-05-09T00:00:00"/>
    <s v="Ceramic Tile"/>
    <n v="8947.16"/>
  </r>
  <r>
    <x v="744"/>
    <x v="117"/>
    <d v="2025-07-09T00:00:00"/>
    <s v="Granite Tile"/>
    <n v="6609.73"/>
  </r>
  <r>
    <x v="745"/>
    <x v="102"/>
    <d v="2024-06-11T00:00:00"/>
    <s v="Granite Tile"/>
    <n v="1890.64"/>
  </r>
  <r>
    <x v="746"/>
    <x v="164"/>
    <d v="2024-02-05T00:00:00"/>
    <s v="Granite Tile"/>
    <n v="5769.76"/>
  </r>
  <r>
    <x v="747"/>
    <x v="233"/>
    <d v="2024-06-05T00:00:00"/>
    <s v="Ceramic Tile"/>
    <n v="9070.18"/>
  </r>
  <r>
    <x v="748"/>
    <x v="15"/>
    <d v="2024-05-24T00:00:00"/>
    <s v="Terracotta Tile"/>
    <n v="7562.08"/>
  </r>
  <r>
    <x v="749"/>
    <x v="135"/>
    <d v="2024-07-10T00:00:00"/>
    <s v="Terracotta Tile"/>
    <n v="7244.24"/>
  </r>
  <r>
    <x v="750"/>
    <x v="20"/>
    <d v="2024-02-07T00:00:00"/>
    <s v="Terracotta Tile"/>
    <n v="9237.5499999999993"/>
  </r>
  <r>
    <x v="751"/>
    <x v="228"/>
    <d v="2024-03-04T00:00:00"/>
    <s v="Terracotta Tile"/>
    <n v="9298.9599999999991"/>
  </r>
  <r>
    <x v="752"/>
    <x v="156"/>
    <d v="2025-06-01T00:00:00"/>
    <s v="Terracotta Tile"/>
    <n v="1440.48"/>
  </r>
  <r>
    <x v="753"/>
    <x v="188"/>
    <d v="2025-11-12T00:00:00"/>
    <s v="Ceramic Tile"/>
    <n v="3649.38"/>
  </r>
  <r>
    <x v="754"/>
    <x v="179"/>
    <d v="2024-08-08T00:00:00"/>
    <s v="Terracotta Tile"/>
    <n v="4015.96"/>
  </r>
  <r>
    <x v="755"/>
    <x v="37"/>
    <d v="2025-03-20T00:00:00"/>
    <s v="Porcelain Tile"/>
    <n v="4834.6499999999996"/>
  </r>
  <r>
    <x v="756"/>
    <x v="109"/>
    <d v="2024-04-22T00:00:00"/>
    <s v="Ceramic Tile"/>
    <n v="3035.69"/>
  </r>
  <r>
    <x v="757"/>
    <x v="183"/>
    <d v="2024-02-08T00:00:00"/>
    <s v="Terracotta Tile"/>
    <n v="272.55"/>
  </r>
  <r>
    <x v="758"/>
    <x v="220"/>
    <d v="2025-07-24T00:00:00"/>
    <s v="Marble Tile"/>
    <n v="5332.04"/>
  </r>
  <r>
    <x v="759"/>
    <x v="218"/>
    <d v="2025-01-21T00:00:00"/>
    <s v="Vinyl Tile"/>
    <n v="2214.4"/>
  </r>
  <r>
    <x v="760"/>
    <x v="93"/>
    <d v="2024-03-28T00:00:00"/>
    <s v="Mosaic Tile"/>
    <n v="8877.83"/>
  </r>
  <r>
    <x v="761"/>
    <x v="23"/>
    <d v="2025-09-18T00:00:00"/>
    <s v="Granite Tile"/>
    <n v="544.88"/>
  </r>
  <r>
    <x v="762"/>
    <x v="106"/>
    <d v="2024-10-04T00:00:00"/>
    <s v="Terracotta Tile"/>
    <n v="9948.7900000000009"/>
  </r>
  <r>
    <x v="763"/>
    <x v="210"/>
    <d v="2025-10-18T00:00:00"/>
    <s v="Ceramic Tile"/>
    <n v="4703.46"/>
  </r>
  <r>
    <x v="764"/>
    <x v="35"/>
    <d v="2024-08-22T00:00:00"/>
    <s v="Mosaic Tile"/>
    <n v="448.3"/>
  </r>
  <r>
    <x v="765"/>
    <x v="150"/>
    <d v="2024-03-05T00:00:00"/>
    <s v="Granite Tile"/>
    <n v="8214.11"/>
  </r>
  <r>
    <x v="766"/>
    <x v="13"/>
    <d v="2025-05-04T00:00:00"/>
    <s v="Porcelain Tile"/>
    <n v="5039.16"/>
  </r>
  <r>
    <x v="767"/>
    <x v="128"/>
    <d v="2024-11-25T00:00:00"/>
    <s v="Glass Tile"/>
    <n v="4608.59"/>
  </r>
  <r>
    <x v="768"/>
    <x v="80"/>
    <d v="2024-05-11T00:00:00"/>
    <s v="Mosaic Tile"/>
    <n v="6989.81"/>
  </r>
  <r>
    <x v="769"/>
    <x v="147"/>
    <d v="2025-05-20T00:00:00"/>
    <s v="Mosaic Tile"/>
    <n v="790.67"/>
  </r>
  <r>
    <x v="770"/>
    <x v="42"/>
    <d v="2025-03-28T00:00:00"/>
    <s v="Ceramic Tile"/>
    <n v="1870.8"/>
  </r>
  <r>
    <x v="771"/>
    <x v="6"/>
    <d v="2025-08-25T00:00:00"/>
    <s v="Granite Tile"/>
    <n v="9350.32"/>
  </r>
  <r>
    <x v="772"/>
    <x v="33"/>
    <d v="2025-09-13T00:00:00"/>
    <s v="Ceramic Tile"/>
    <n v="1589.45"/>
  </r>
  <r>
    <x v="773"/>
    <x v="218"/>
    <d v="2025-02-05T00:00:00"/>
    <s v="Porcelain Tile"/>
    <n v="6589.42"/>
  </r>
  <r>
    <x v="774"/>
    <x v="114"/>
    <d v="2024-03-13T00:00:00"/>
    <s v="Marble Tile"/>
    <n v="1695.3"/>
  </r>
  <r>
    <x v="775"/>
    <x v="172"/>
    <d v="2025-07-23T00:00:00"/>
    <s v="Porcelain Tile"/>
    <n v="3227.55"/>
  </r>
  <r>
    <x v="776"/>
    <x v="211"/>
    <d v="2024-02-18T00:00:00"/>
    <s v="Mosaic Tile"/>
    <n v="3273.83"/>
  </r>
  <r>
    <x v="777"/>
    <x v="185"/>
    <d v="2025-05-08T00:00:00"/>
    <s v="Vinyl Tile"/>
    <n v="4169.8999999999996"/>
  </r>
  <r>
    <x v="778"/>
    <x v="19"/>
    <d v="2025-10-02T00:00:00"/>
    <s v="Granite Tile"/>
    <n v="9133.77"/>
  </r>
  <r>
    <x v="779"/>
    <x v="128"/>
    <d v="2024-08-08T00:00:00"/>
    <s v="Terracotta Tile"/>
    <n v="2976.51"/>
  </r>
  <r>
    <x v="780"/>
    <x v="57"/>
    <d v="2024-04-01T00:00:00"/>
    <s v="Vinyl Tile"/>
    <n v="347.62"/>
  </r>
  <r>
    <x v="781"/>
    <x v="234"/>
    <d v="2024-03-30T00:00:00"/>
    <s v="Ceramic Tile"/>
    <n v="8636.08"/>
  </r>
  <r>
    <x v="782"/>
    <x v="100"/>
    <d v="2024-05-23T00:00:00"/>
    <s v="Porcelain Tile"/>
    <n v="8527.59"/>
  </r>
  <r>
    <x v="783"/>
    <x v="123"/>
    <d v="2025-09-10T00:00:00"/>
    <s v="Ceramic Tile"/>
    <n v="8484.52"/>
  </r>
  <r>
    <x v="784"/>
    <x v="189"/>
    <d v="2024-12-15T00:00:00"/>
    <s v="Marble Tile"/>
    <n v="1395.66"/>
  </r>
  <r>
    <x v="785"/>
    <x v="31"/>
    <d v="2024-05-04T00:00:00"/>
    <s v="Mosaic Tile"/>
    <n v="74.27"/>
  </r>
  <r>
    <x v="786"/>
    <x v="91"/>
    <d v="2024-07-12T00:00:00"/>
    <s v="Terracotta Tile"/>
    <n v="6658.87"/>
  </r>
  <r>
    <x v="787"/>
    <x v="134"/>
    <d v="2024-02-04T00:00:00"/>
    <s v="Glass Tile"/>
    <n v="9487.7199999999993"/>
  </r>
  <r>
    <x v="788"/>
    <x v="216"/>
    <d v="2025-06-25T00:00:00"/>
    <s v="Mosaic Tile"/>
    <n v="6098.08"/>
  </r>
  <r>
    <x v="789"/>
    <x v="174"/>
    <d v="2024-02-04T00:00:00"/>
    <s v="Granite Tile"/>
    <n v="997.36"/>
  </r>
  <r>
    <x v="790"/>
    <x v="22"/>
    <d v="2025-04-30T00:00:00"/>
    <s v="Granite Tile"/>
    <n v="8946.67"/>
  </r>
  <r>
    <x v="791"/>
    <x v="181"/>
    <d v="2024-08-21T00:00:00"/>
    <s v="Vinyl Tile"/>
    <n v="7729.95"/>
  </r>
  <r>
    <x v="792"/>
    <x v="190"/>
    <d v="2024-07-09T00:00:00"/>
    <s v="Marble Tile"/>
    <n v="4138.75"/>
  </r>
  <r>
    <x v="793"/>
    <x v="57"/>
    <d v="2025-08-23T00:00:00"/>
    <s v="Ceramic Tile"/>
    <n v="5043.6899999999996"/>
  </r>
  <r>
    <x v="794"/>
    <x v="86"/>
    <d v="2024-06-07T00:00:00"/>
    <s v="Vinyl Tile"/>
    <n v="7087.33"/>
  </r>
  <r>
    <x v="795"/>
    <x v="25"/>
    <d v="2025-12-26T00:00:00"/>
    <s v="Glass Tile"/>
    <n v="2577.56"/>
  </r>
  <r>
    <x v="796"/>
    <x v="0"/>
    <d v="2024-01-14T00:00:00"/>
    <s v="Ceramic Tile"/>
    <n v="9844.94"/>
  </r>
  <r>
    <x v="797"/>
    <x v="88"/>
    <d v="2024-03-18T00:00:00"/>
    <s v="Vinyl Tile"/>
    <n v="2797.13"/>
  </r>
  <r>
    <x v="798"/>
    <x v="184"/>
    <d v="2025-06-04T00:00:00"/>
    <s v="Vinyl Tile"/>
    <n v="2139.2399999999998"/>
  </r>
  <r>
    <x v="799"/>
    <x v="108"/>
    <d v="2025-09-28T00:00:00"/>
    <s v="Ceramic Tile"/>
    <n v="156.69999999999999"/>
  </r>
  <r>
    <x v="800"/>
    <x v="54"/>
    <d v="2024-09-06T00:00:00"/>
    <s v="Terracotta Tile"/>
    <n v="183.31"/>
  </r>
  <r>
    <x v="801"/>
    <x v="86"/>
    <d v="2025-03-13T00:00:00"/>
    <s v="Terracotta Tile"/>
    <n v="8080.42"/>
  </r>
  <r>
    <x v="802"/>
    <x v="214"/>
    <d v="2025-04-23T00:00:00"/>
    <s v="Vinyl Tile"/>
    <n v="1358.18"/>
  </r>
  <r>
    <x v="803"/>
    <x v="181"/>
    <d v="2025-03-27T00:00:00"/>
    <s v="Granite Tile"/>
    <n v="3861.47"/>
  </r>
  <r>
    <x v="804"/>
    <x v="235"/>
    <d v="2025-08-25T00:00:00"/>
    <s v="Marble Tile"/>
    <n v="6062.4"/>
  </r>
  <r>
    <x v="805"/>
    <x v="144"/>
    <d v="2024-10-01T00:00:00"/>
    <s v="Glass Tile"/>
    <n v="3044.11"/>
  </r>
  <r>
    <x v="806"/>
    <x v="190"/>
    <d v="2025-06-18T00:00:00"/>
    <s v="Porcelain Tile"/>
    <n v="8456.48"/>
  </r>
  <r>
    <x v="807"/>
    <x v="185"/>
    <d v="2025-12-15T00:00:00"/>
    <s v="Porcelain Tile"/>
    <n v="5411.75"/>
  </r>
  <r>
    <x v="808"/>
    <x v="34"/>
    <d v="2024-09-26T00:00:00"/>
    <s v="Mosaic Tile"/>
    <n v="3220.81"/>
  </r>
  <r>
    <x v="809"/>
    <x v="28"/>
    <d v="2025-05-28T00:00:00"/>
    <s v="Vinyl Tile"/>
    <n v="3839.51"/>
  </r>
  <r>
    <x v="810"/>
    <x v="121"/>
    <d v="2025-03-15T00:00:00"/>
    <s v="Mosaic Tile"/>
    <n v="1698.97"/>
  </r>
  <r>
    <x v="811"/>
    <x v="236"/>
    <d v="2025-10-26T00:00:00"/>
    <s v="Vinyl Tile"/>
    <n v="197.63"/>
  </r>
  <r>
    <x v="812"/>
    <x v="12"/>
    <d v="2024-06-10T00:00:00"/>
    <s v="Marble Tile"/>
    <n v="9665.61"/>
  </r>
  <r>
    <x v="813"/>
    <x v="131"/>
    <d v="2025-01-03T00:00:00"/>
    <s v="Granite Tile"/>
    <n v="528.5"/>
  </r>
  <r>
    <x v="814"/>
    <x v="145"/>
    <d v="2025-03-14T00:00:00"/>
    <s v="Glass Tile"/>
    <n v="2998.93"/>
  </r>
  <r>
    <x v="815"/>
    <x v="221"/>
    <d v="2025-08-31T00:00:00"/>
    <s v="Porcelain Tile"/>
    <n v="6375.05"/>
  </r>
  <r>
    <x v="816"/>
    <x v="53"/>
    <d v="2025-12-16T00:00:00"/>
    <s v="Ceramic Tile"/>
    <n v="9377.84"/>
  </r>
  <r>
    <x v="817"/>
    <x v="12"/>
    <d v="2025-04-05T00:00:00"/>
    <s v="Ceramic Tile"/>
    <n v="2503.73"/>
  </r>
  <r>
    <x v="818"/>
    <x v="191"/>
    <d v="2024-04-06T00:00:00"/>
    <s v="Mosaic Tile"/>
    <n v="4452.28"/>
  </r>
  <r>
    <x v="819"/>
    <x v="166"/>
    <d v="2025-01-25T00:00:00"/>
    <s v="Mosaic Tile"/>
    <n v="9133.26"/>
  </r>
  <r>
    <x v="820"/>
    <x v="47"/>
    <d v="2024-05-22T00:00:00"/>
    <s v="Glass Tile"/>
    <n v="364.44"/>
  </r>
  <r>
    <x v="821"/>
    <x v="79"/>
    <d v="2024-04-23T00:00:00"/>
    <s v="Mosaic Tile"/>
    <n v="8524.25"/>
  </r>
  <r>
    <x v="822"/>
    <x v="213"/>
    <d v="2025-08-22T00:00:00"/>
    <s v="Glass Tile"/>
    <n v="3235.67"/>
  </r>
  <r>
    <x v="823"/>
    <x v="153"/>
    <d v="2024-06-21T00:00:00"/>
    <s v="Terracotta Tile"/>
    <n v="526.71"/>
  </r>
  <r>
    <x v="824"/>
    <x v="73"/>
    <d v="2024-07-26T00:00:00"/>
    <s v="Glass Tile"/>
    <n v="3449.04"/>
  </r>
  <r>
    <x v="825"/>
    <x v="231"/>
    <d v="2024-08-27T00:00:00"/>
    <s v="Granite Tile"/>
    <n v="497.12"/>
  </r>
  <r>
    <x v="826"/>
    <x v="201"/>
    <d v="2025-10-26T00:00:00"/>
    <s v="Granite Tile"/>
    <n v="8047.78"/>
  </r>
  <r>
    <x v="827"/>
    <x v="165"/>
    <d v="2024-10-01T00:00:00"/>
    <s v="Marble Tile"/>
    <n v="426.09"/>
  </r>
  <r>
    <x v="828"/>
    <x v="58"/>
    <d v="2024-08-01T00:00:00"/>
    <s v="Glass Tile"/>
    <n v="1300.55"/>
  </r>
  <r>
    <x v="829"/>
    <x v="232"/>
    <d v="2025-05-23T00:00:00"/>
    <s v="Ceramic Tile"/>
    <n v="4468.92"/>
  </r>
  <r>
    <x v="830"/>
    <x v="237"/>
    <d v="2025-10-16T00:00:00"/>
    <s v="Marble Tile"/>
    <n v="8714.69"/>
  </r>
  <r>
    <x v="831"/>
    <x v="86"/>
    <d v="2025-01-10T00:00:00"/>
    <s v="Glass Tile"/>
    <n v="972.99"/>
  </r>
  <r>
    <x v="832"/>
    <x v="192"/>
    <d v="2025-10-31T00:00:00"/>
    <s v="Vinyl Tile"/>
    <n v="8338.14"/>
  </r>
  <r>
    <x v="833"/>
    <x v="238"/>
    <d v="2024-08-07T00:00:00"/>
    <s v="Terracotta Tile"/>
    <n v="4805.8999999999996"/>
  </r>
  <r>
    <x v="834"/>
    <x v="30"/>
    <d v="2025-11-04T00:00:00"/>
    <s v="Marble Tile"/>
    <n v="7525.99"/>
  </r>
  <r>
    <x v="835"/>
    <x v="134"/>
    <d v="2024-08-15T00:00:00"/>
    <s v="Terracotta Tile"/>
    <n v="9846.81"/>
  </r>
  <r>
    <x v="836"/>
    <x v="208"/>
    <d v="2024-07-03T00:00:00"/>
    <s v="Glass Tile"/>
    <n v="792.37"/>
  </r>
  <r>
    <x v="837"/>
    <x v="234"/>
    <d v="2025-06-03T00:00:00"/>
    <s v="Granite Tile"/>
    <n v="8415.06"/>
  </r>
  <r>
    <x v="838"/>
    <x v="178"/>
    <d v="2025-08-21T00:00:00"/>
    <s v="Granite Tile"/>
    <n v="6881.05"/>
  </r>
  <r>
    <x v="839"/>
    <x v="76"/>
    <d v="2025-03-20T00:00:00"/>
    <s v="Porcelain Tile"/>
    <n v="3959.5"/>
  </r>
  <r>
    <x v="840"/>
    <x v="182"/>
    <d v="2024-02-05T00:00:00"/>
    <s v="Marble Tile"/>
    <n v="9387.7800000000007"/>
  </r>
  <r>
    <x v="841"/>
    <x v="129"/>
    <d v="2025-02-23T00:00:00"/>
    <s v="Mosaic Tile"/>
    <n v="3787.06"/>
  </r>
  <r>
    <x v="842"/>
    <x v="184"/>
    <d v="2024-10-04T00:00:00"/>
    <s v="Marble Tile"/>
    <n v="1084.6300000000001"/>
  </r>
  <r>
    <x v="843"/>
    <x v="51"/>
    <d v="2024-09-19T00:00:00"/>
    <s v="Glass Tile"/>
    <n v="9947.3700000000008"/>
  </r>
  <r>
    <x v="844"/>
    <x v="239"/>
    <d v="2024-04-15T00:00:00"/>
    <s v="Marble Tile"/>
    <n v="662.67"/>
  </r>
  <r>
    <x v="845"/>
    <x v="232"/>
    <d v="2024-03-24T00:00:00"/>
    <s v="Terracotta Tile"/>
    <n v="2613.58"/>
  </r>
  <r>
    <x v="846"/>
    <x v="14"/>
    <d v="2025-05-12T00:00:00"/>
    <s v="Porcelain Tile"/>
    <n v="363.39"/>
  </r>
  <r>
    <x v="847"/>
    <x v="42"/>
    <d v="2025-04-08T00:00:00"/>
    <s v="Porcelain Tile"/>
    <n v="806.09"/>
  </r>
  <r>
    <x v="848"/>
    <x v="76"/>
    <d v="2024-05-19T00:00:00"/>
    <s v="Mosaic Tile"/>
    <n v="8705.7199999999993"/>
  </r>
  <r>
    <x v="849"/>
    <x v="105"/>
    <d v="2025-07-17T00:00:00"/>
    <s v="Glass Tile"/>
    <n v="6365.26"/>
  </r>
  <r>
    <x v="850"/>
    <x v="83"/>
    <d v="2024-08-25T00:00:00"/>
    <s v="Glass Tile"/>
    <n v="4363.55"/>
  </r>
  <r>
    <x v="851"/>
    <x v="109"/>
    <d v="2024-05-07T00:00:00"/>
    <s v="Vinyl Tile"/>
    <n v="6168.71"/>
  </r>
  <r>
    <x v="852"/>
    <x v="164"/>
    <d v="2025-10-26T00:00:00"/>
    <s v="Glass Tile"/>
    <n v="743"/>
  </r>
  <r>
    <x v="853"/>
    <x v="240"/>
    <d v="2024-07-10T00:00:00"/>
    <s v="Glass Tile"/>
    <n v="6307.52"/>
  </r>
  <r>
    <x v="854"/>
    <x v="125"/>
    <d v="2024-10-15T00:00:00"/>
    <s v="Terracotta Tile"/>
    <n v="1893.11"/>
  </r>
  <r>
    <x v="855"/>
    <x v="59"/>
    <d v="2025-05-31T00:00:00"/>
    <s v="Granite Tile"/>
    <n v="6848.21"/>
  </r>
  <r>
    <x v="856"/>
    <x v="30"/>
    <d v="2024-09-12T00:00:00"/>
    <s v="Mosaic Tile"/>
    <n v="6705.13"/>
  </r>
  <r>
    <x v="857"/>
    <x v="15"/>
    <d v="2025-09-09T00:00:00"/>
    <s v="Mosaic Tile"/>
    <n v="5183.93"/>
  </r>
  <r>
    <x v="858"/>
    <x v="205"/>
    <d v="2024-11-01T00:00:00"/>
    <s v="Porcelain Tile"/>
    <n v="6816.86"/>
  </r>
  <r>
    <x v="859"/>
    <x v="107"/>
    <d v="2024-06-14T00:00:00"/>
    <s v="Glass Tile"/>
    <n v="9079.82"/>
  </r>
  <r>
    <x v="860"/>
    <x v="156"/>
    <d v="2024-12-10T00:00:00"/>
    <s v="Glass Tile"/>
    <n v="8398.5499999999993"/>
  </r>
  <r>
    <x v="861"/>
    <x v="27"/>
    <d v="2025-09-14T00:00:00"/>
    <s v="Porcelain Tile"/>
    <n v="7095.04"/>
  </r>
  <r>
    <x v="862"/>
    <x v="172"/>
    <d v="2024-08-06T00:00:00"/>
    <s v="Ceramic Tile"/>
    <n v="4133.92"/>
  </r>
  <r>
    <x v="863"/>
    <x v="128"/>
    <d v="2024-09-20T00:00:00"/>
    <s v="Glass Tile"/>
    <n v="7996.42"/>
  </r>
  <r>
    <x v="864"/>
    <x v="241"/>
    <d v="2025-04-12T00:00:00"/>
    <s v="Glass Tile"/>
    <n v="9783.09"/>
  </r>
  <r>
    <x v="865"/>
    <x v="197"/>
    <d v="2025-10-16T00:00:00"/>
    <s v="Granite Tile"/>
    <n v="4845.09"/>
  </r>
  <r>
    <x v="866"/>
    <x v="118"/>
    <d v="2024-06-16T00:00:00"/>
    <s v="Vinyl Tile"/>
    <n v="9139.5499999999993"/>
  </r>
  <r>
    <x v="867"/>
    <x v="77"/>
    <d v="2025-12-29T00:00:00"/>
    <s v="Terracotta Tile"/>
    <n v="4216.5"/>
  </r>
  <r>
    <x v="868"/>
    <x v="129"/>
    <d v="2025-03-01T00:00:00"/>
    <s v="Mosaic Tile"/>
    <n v="9545.2199999999993"/>
  </r>
  <r>
    <x v="869"/>
    <x v="24"/>
    <d v="2024-09-10T00:00:00"/>
    <s v="Ceramic Tile"/>
    <n v="7685.49"/>
  </r>
  <r>
    <x v="870"/>
    <x v="17"/>
    <d v="2025-11-25T00:00:00"/>
    <s v="Porcelain Tile"/>
    <n v="5790.7"/>
  </r>
  <r>
    <x v="871"/>
    <x v="207"/>
    <d v="2025-07-01T00:00:00"/>
    <s v="Porcelain Tile"/>
    <n v="2651.76"/>
  </r>
  <r>
    <x v="872"/>
    <x v="148"/>
    <d v="2025-01-10T00:00:00"/>
    <s v="Terracotta Tile"/>
    <n v="5571.59"/>
  </r>
  <r>
    <x v="873"/>
    <x v="242"/>
    <d v="2024-01-26T00:00:00"/>
    <s v="Vinyl Tile"/>
    <n v="2805.25"/>
  </r>
  <r>
    <x v="874"/>
    <x v="127"/>
    <d v="2024-10-01T00:00:00"/>
    <s v="Marble Tile"/>
    <n v="5513.12"/>
  </r>
  <r>
    <x v="875"/>
    <x v="228"/>
    <d v="2025-07-04T00:00:00"/>
    <s v="Granite Tile"/>
    <n v="9146.09"/>
  </r>
  <r>
    <x v="876"/>
    <x v="222"/>
    <d v="2024-12-21T00:00:00"/>
    <s v="Ceramic Tile"/>
    <n v="2131.52"/>
  </r>
  <r>
    <x v="877"/>
    <x v="87"/>
    <d v="2025-01-10T00:00:00"/>
    <s v="Mosaic Tile"/>
    <n v="7503.49"/>
  </r>
  <r>
    <x v="878"/>
    <x v="188"/>
    <d v="2024-03-31T00:00:00"/>
    <s v="Vinyl Tile"/>
    <n v="1452.97"/>
  </r>
  <r>
    <x v="879"/>
    <x v="109"/>
    <d v="2024-05-16T00:00:00"/>
    <s v="Mosaic Tile"/>
    <n v="1113.96"/>
  </r>
  <r>
    <x v="880"/>
    <x v="167"/>
    <d v="2025-10-30T00:00:00"/>
    <s v="Mosaic Tile"/>
    <n v="5235.99"/>
  </r>
  <r>
    <x v="881"/>
    <x v="67"/>
    <d v="2025-02-03T00:00:00"/>
    <s v="Terracotta Tile"/>
    <n v="5533.54"/>
  </r>
  <r>
    <x v="882"/>
    <x v="29"/>
    <d v="2025-10-07T00:00:00"/>
    <s v="Granite Tile"/>
    <n v="4612.42"/>
  </r>
  <r>
    <x v="883"/>
    <x v="196"/>
    <d v="2024-08-20T00:00:00"/>
    <s v="Porcelain Tile"/>
    <n v="2465.41"/>
  </r>
  <r>
    <x v="884"/>
    <x v="242"/>
    <d v="2024-06-30T00:00:00"/>
    <s v="Porcelain Tile"/>
    <n v="9217.7099999999991"/>
  </r>
  <r>
    <x v="885"/>
    <x v="140"/>
    <d v="2024-11-24T00:00:00"/>
    <s v="Porcelain Tile"/>
    <n v="6940.9"/>
  </r>
  <r>
    <x v="886"/>
    <x v="91"/>
    <d v="2024-01-29T00:00:00"/>
    <s v="Ceramic Tile"/>
    <n v="4276.6000000000004"/>
  </r>
  <r>
    <x v="887"/>
    <x v="39"/>
    <d v="2024-10-06T00:00:00"/>
    <s v="Vinyl Tile"/>
    <n v="1384.27"/>
  </r>
  <r>
    <x v="888"/>
    <x v="86"/>
    <d v="2025-02-18T00:00:00"/>
    <s v="Marble Tile"/>
    <n v="7092.87"/>
  </r>
  <r>
    <x v="889"/>
    <x v="147"/>
    <d v="2024-02-26T00:00:00"/>
    <s v="Vinyl Tile"/>
    <n v="734.65"/>
  </r>
  <r>
    <x v="890"/>
    <x v="144"/>
    <d v="2025-07-24T00:00:00"/>
    <s v="Granite Tile"/>
    <n v="5082.96"/>
  </r>
  <r>
    <x v="891"/>
    <x v="23"/>
    <d v="2024-09-06T00:00:00"/>
    <s v="Ceramic Tile"/>
    <n v="7943.03"/>
  </r>
  <r>
    <x v="892"/>
    <x v="230"/>
    <d v="2024-03-29T00:00:00"/>
    <s v="Marble Tile"/>
    <n v="6550.84"/>
  </r>
  <r>
    <x v="893"/>
    <x v="104"/>
    <d v="2024-01-23T00:00:00"/>
    <s v="Vinyl Tile"/>
    <n v="51.36"/>
  </r>
  <r>
    <x v="894"/>
    <x v="205"/>
    <d v="2025-01-29T00:00:00"/>
    <s v="Terracotta Tile"/>
    <n v="4175.03"/>
  </r>
  <r>
    <x v="895"/>
    <x v="123"/>
    <d v="2024-05-21T00:00:00"/>
    <s v="Ceramic Tile"/>
    <n v="5742.28"/>
  </r>
  <r>
    <x v="896"/>
    <x v="103"/>
    <d v="2025-11-08T00:00:00"/>
    <s v="Porcelain Tile"/>
    <n v="1063.3699999999999"/>
  </r>
  <r>
    <x v="897"/>
    <x v="45"/>
    <d v="2024-12-04T00:00:00"/>
    <s v="Mosaic Tile"/>
    <n v="7296.71"/>
  </r>
  <r>
    <x v="898"/>
    <x v="180"/>
    <d v="2025-03-23T00:00:00"/>
    <s v="Ceramic Tile"/>
    <n v="6244.54"/>
  </r>
  <r>
    <x v="899"/>
    <x v="81"/>
    <d v="2024-11-20T00:00:00"/>
    <s v="Vinyl Tile"/>
    <n v="8719.49"/>
  </r>
  <r>
    <x v="900"/>
    <x v="13"/>
    <d v="2025-09-09T00:00:00"/>
    <s v="Vinyl Tile"/>
    <n v="2442.11"/>
  </r>
  <r>
    <x v="901"/>
    <x v="154"/>
    <d v="2025-02-02T00:00:00"/>
    <s v="Ceramic Tile"/>
    <n v="7139.95"/>
  </r>
  <r>
    <x v="902"/>
    <x v="73"/>
    <d v="2024-09-10T00:00:00"/>
    <s v="Marble Tile"/>
    <n v="8562.42"/>
  </r>
  <r>
    <x v="903"/>
    <x v="88"/>
    <d v="2025-04-28T00:00:00"/>
    <s v="Mosaic Tile"/>
    <n v="7885.74"/>
  </r>
  <r>
    <x v="904"/>
    <x v="36"/>
    <d v="2024-09-11T00:00:00"/>
    <s v="Mosaic Tile"/>
    <n v="4582.2700000000004"/>
  </r>
  <r>
    <x v="905"/>
    <x v="243"/>
    <d v="2025-01-21T00:00:00"/>
    <s v="Terracotta Tile"/>
    <n v="8029.89"/>
  </r>
  <r>
    <x v="906"/>
    <x v="202"/>
    <d v="2025-06-28T00:00:00"/>
    <s v="Marble Tile"/>
    <n v="3304.17"/>
  </r>
  <r>
    <x v="907"/>
    <x v="228"/>
    <d v="2025-06-02T00:00:00"/>
    <s v="Marble Tile"/>
    <n v="5810.74"/>
  </r>
  <r>
    <x v="908"/>
    <x v="139"/>
    <d v="2024-12-02T00:00:00"/>
    <s v="Vinyl Tile"/>
    <n v="3473.42"/>
  </r>
  <r>
    <x v="909"/>
    <x v="134"/>
    <d v="2024-07-19T00:00:00"/>
    <s v="Terracotta Tile"/>
    <n v="5650.53"/>
  </r>
  <r>
    <x v="910"/>
    <x v="17"/>
    <d v="2024-04-13T00:00:00"/>
    <s v="Ceramic Tile"/>
    <n v="7499.8"/>
  </r>
  <r>
    <x v="911"/>
    <x v="57"/>
    <d v="2025-09-15T00:00:00"/>
    <s v="Marble Tile"/>
    <n v="9268.68"/>
  </r>
  <r>
    <x v="912"/>
    <x v="236"/>
    <d v="2025-02-08T00:00:00"/>
    <s v="Terracotta Tile"/>
    <n v="8804.2199999999993"/>
  </r>
  <r>
    <x v="913"/>
    <x v="145"/>
    <d v="2024-06-03T00:00:00"/>
    <s v="Vinyl Tile"/>
    <n v="8164.91"/>
  </r>
  <r>
    <x v="914"/>
    <x v="97"/>
    <d v="2024-04-28T00:00:00"/>
    <s v="Mosaic Tile"/>
    <n v="9838.5499999999993"/>
  </r>
  <r>
    <x v="915"/>
    <x v="214"/>
    <d v="2025-07-23T00:00:00"/>
    <s v="Granite Tile"/>
    <n v="6635.86"/>
  </r>
  <r>
    <x v="916"/>
    <x v="211"/>
    <d v="2024-10-12T00:00:00"/>
    <s v="Terracotta Tile"/>
    <n v="2268.5"/>
  </r>
  <r>
    <x v="917"/>
    <x v="167"/>
    <d v="2025-04-01T00:00:00"/>
    <s v="Granite Tile"/>
    <n v="4583.51"/>
  </r>
  <r>
    <x v="918"/>
    <x v="121"/>
    <d v="2025-08-07T00:00:00"/>
    <s v="Ceramic Tile"/>
    <n v="668.8"/>
  </r>
  <r>
    <x v="919"/>
    <x v="167"/>
    <d v="2025-10-02T00:00:00"/>
    <s v="Vinyl Tile"/>
    <n v="6976.99"/>
  </r>
  <r>
    <x v="920"/>
    <x v="105"/>
    <d v="2025-12-25T00:00:00"/>
    <s v="Terracotta Tile"/>
    <n v="3563.1"/>
  </r>
  <r>
    <x v="921"/>
    <x v="169"/>
    <d v="2024-10-20T00:00:00"/>
    <s v="Vinyl Tile"/>
    <n v="4807.83"/>
  </r>
  <r>
    <x v="922"/>
    <x v="177"/>
    <d v="2025-03-15T00:00:00"/>
    <s v="Porcelain Tile"/>
    <n v="6351.59"/>
  </r>
  <r>
    <x v="923"/>
    <x v="235"/>
    <d v="2024-10-19T00:00:00"/>
    <s v="Mosaic Tile"/>
    <n v="4376.1099999999997"/>
  </r>
  <r>
    <x v="924"/>
    <x v="12"/>
    <d v="2025-12-21T00:00:00"/>
    <s v="Mosaic Tile"/>
    <n v="388.17"/>
  </r>
  <r>
    <x v="925"/>
    <x v="60"/>
    <d v="2025-03-11T00:00:00"/>
    <s v="Terracotta Tile"/>
    <n v="2651.57"/>
  </r>
  <r>
    <x v="926"/>
    <x v="169"/>
    <d v="2025-01-24T00:00:00"/>
    <s v="Granite Tile"/>
    <n v="8642.24"/>
  </r>
  <r>
    <x v="927"/>
    <x v="147"/>
    <d v="2025-02-14T00:00:00"/>
    <s v="Granite Tile"/>
    <n v="8722.5400000000009"/>
  </r>
  <r>
    <x v="928"/>
    <x v="48"/>
    <d v="2025-03-19T00:00:00"/>
    <s v="Granite Tile"/>
    <n v="2408.12"/>
  </r>
  <r>
    <x v="929"/>
    <x v="217"/>
    <d v="2024-02-28T00:00:00"/>
    <s v="Ceramic Tile"/>
    <n v="9617.77"/>
  </r>
  <r>
    <x v="930"/>
    <x v="219"/>
    <d v="2024-03-29T00:00:00"/>
    <s v="Ceramic Tile"/>
    <n v="5464.88"/>
  </r>
  <r>
    <x v="931"/>
    <x v="197"/>
    <d v="2024-12-27T00:00:00"/>
    <s v="Ceramic Tile"/>
    <n v="4966.5600000000004"/>
  </r>
  <r>
    <x v="932"/>
    <x v="10"/>
    <d v="2025-05-27T00:00:00"/>
    <s v="Mosaic Tile"/>
    <n v="4370.16"/>
  </r>
  <r>
    <x v="933"/>
    <x v="231"/>
    <d v="2025-04-20T00:00:00"/>
    <s v="Vinyl Tile"/>
    <n v="3976.75"/>
  </r>
  <r>
    <x v="934"/>
    <x v="207"/>
    <d v="2024-05-03T00:00:00"/>
    <s v="Vinyl Tile"/>
    <n v="8695.9500000000007"/>
  </r>
  <r>
    <x v="935"/>
    <x v="119"/>
    <d v="2025-05-06T00:00:00"/>
    <s v="Ceramic Tile"/>
    <n v="4084"/>
  </r>
  <r>
    <x v="936"/>
    <x v="27"/>
    <d v="2024-11-21T00:00:00"/>
    <s v="Granite Tile"/>
    <n v="6369.47"/>
  </r>
  <r>
    <x v="937"/>
    <x v="83"/>
    <d v="2024-12-24T00:00:00"/>
    <s v="Terracotta Tile"/>
    <n v="6162.64"/>
  </r>
  <r>
    <x v="938"/>
    <x v="136"/>
    <d v="2024-05-25T00:00:00"/>
    <s v="Vinyl Tile"/>
    <n v="2917.66"/>
  </r>
  <r>
    <x v="939"/>
    <x v="231"/>
    <d v="2025-02-02T00:00:00"/>
    <s v="Ceramic Tile"/>
    <n v="6726.85"/>
  </r>
  <r>
    <x v="940"/>
    <x v="175"/>
    <d v="2024-02-13T00:00:00"/>
    <s v="Ceramic Tile"/>
    <n v="3260.12"/>
  </r>
  <r>
    <x v="941"/>
    <x v="29"/>
    <d v="2025-09-05T00:00:00"/>
    <s v="Granite Tile"/>
    <n v="6392.63"/>
  </r>
  <r>
    <x v="942"/>
    <x v="4"/>
    <d v="2024-06-26T00:00:00"/>
    <s v="Ceramic Tile"/>
    <n v="3457.55"/>
  </r>
  <r>
    <x v="943"/>
    <x v="122"/>
    <d v="2025-08-29T00:00:00"/>
    <s v="Vinyl Tile"/>
    <n v="5591.49"/>
  </r>
  <r>
    <x v="944"/>
    <x v="239"/>
    <d v="2024-08-11T00:00:00"/>
    <s v="Vinyl Tile"/>
    <n v="1651.35"/>
  </r>
  <r>
    <x v="945"/>
    <x v="38"/>
    <d v="2025-12-27T00:00:00"/>
    <s v="Terracotta Tile"/>
    <n v="6799.16"/>
  </r>
  <r>
    <x v="946"/>
    <x v="207"/>
    <d v="2025-10-30T00:00:00"/>
    <s v="Terracotta Tile"/>
    <n v="4823.2"/>
  </r>
  <r>
    <x v="947"/>
    <x v="3"/>
    <d v="2024-09-30T00:00:00"/>
    <s v="Mosaic Tile"/>
    <n v="9802.98"/>
  </r>
  <r>
    <x v="948"/>
    <x v="208"/>
    <d v="2024-12-01T00:00:00"/>
    <s v="Porcelain Tile"/>
    <n v="7686.9"/>
  </r>
  <r>
    <x v="949"/>
    <x v="56"/>
    <d v="2025-02-10T00:00:00"/>
    <s v="Terracotta Tile"/>
    <n v="3593.34"/>
  </r>
  <r>
    <x v="950"/>
    <x v="120"/>
    <d v="2025-09-03T00:00:00"/>
    <s v="Glass Tile"/>
    <n v="3269.06"/>
  </r>
  <r>
    <x v="951"/>
    <x v="9"/>
    <d v="2025-08-08T00:00:00"/>
    <s v="Granite Tile"/>
    <n v="6800.19"/>
  </r>
  <r>
    <x v="952"/>
    <x v="139"/>
    <d v="2025-07-24T00:00:00"/>
    <s v="Vinyl Tile"/>
    <n v="1177.46"/>
  </r>
  <r>
    <x v="953"/>
    <x v="190"/>
    <d v="2025-03-08T00:00:00"/>
    <s v="Terracotta Tile"/>
    <n v="9719.35"/>
  </r>
  <r>
    <x v="954"/>
    <x v="73"/>
    <d v="2025-04-04T00:00:00"/>
    <s v="Ceramic Tile"/>
    <n v="450.01"/>
  </r>
  <r>
    <x v="955"/>
    <x v="244"/>
    <d v="2024-02-22T00:00:00"/>
    <s v="Mosaic Tile"/>
    <n v="7663.02"/>
  </r>
  <r>
    <x v="956"/>
    <x v="221"/>
    <d v="2025-04-28T00:00:00"/>
    <s v="Marble Tile"/>
    <n v="8050.48"/>
  </r>
  <r>
    <x v="957"/>
    <x v="33"/>
    <d v="2025-07-23T00:00:00"/>
    <s v="Mosaic Tile"/>
    <n v="429.53"/>
  </r>
  <r>
    <x v="958"/>
    <x v="94"/>
    <d v="2024-01-06T00:00:00"/>
    <s v="Vinyl Tile"/>
    <n v="5795.75"/>
  </r>
  <r>
    <x v="959"/>
    <x v="91"/>
    <d v="2025-02-08T00:00:00"/>
    <s v="Porcelain Tile"/>
    <n v="7341.58"/>
  </r>
  <r>
    <x v="960"/>
    <x v="166"/>
    <d v="2024-10-18T00:00:00"/>
    <s v="Mosaic Tile"/>
    <n v="5993.76"/>
  </r>
  <r>
    <x v="961"/>
    <x v="93"/>
    <d v="2024-08-19T00:00:00"/>
    <s v="Terracotta Tile"/>
    <n v="6614.48"/>
  </r>
  <r>
    <x v="962"/>
    <x v="180"/>
    <d v="2024-05-18T00:00:00"/>
    <s v="Vinyl Tile"/>
    <n v="7270.2"/>
  </r>
  <r>
    <x v="963"/>
    <x v="85"/>
    <d v="2025-08-26T00:00:00"/>
    <s v="Terracotta Tile"/>
    <n v="1809.45"/>
  </r>
  <r>
    <x v="964"/>
    <x v="9"/>
    <d v="2025-03-30T00:00:00"/>
    <s v="Granite Tile"/>
    <n v="7756.43"/>
  </r>
  <r>
    <x v="965"/>
    <x v="16"/>
    <d v="2024-02-14T00:00:00"/>
    <s v="Mosaic Tile"/>
    <n v="4720.29"/>
  </r>
  <r>
    <x v="966"/>
    <x v="170"/>
    <d v="2025-10-15T00:00:00"/>
    <s v="Ceramic Tile"/>
    <n v="5773.32"/>
  </r>
  <r>
    <x v="967"/>
    <x v="92"/>
    <d v="2024-02-16T00:00:00"/>
    <s v="Marble Tile"/>
    <n v="2784.76"/>
  </r>
  <r>
    <x v="968"/>
    <x v="125"/>
    <d v="2024-02-29T00:00:00"/>
    <s v="Glass Tile"/>
    <n v="6696.96"/>
  </r>
  <r>
    <x v="969"/>
    <x v="156"/>
    <d v="2025-11-27T00:00:00"/>
    <s v="Marble Tile"/>
    <n v="4707.3100000000004"/>
  </r>
  <r>
    <x v="970"/>
    <x v="205"/>
    <d v="2025-04-04T00:00:00"/>
    <s v="Terracotta Tile"/>
    <n v="3425.33"/>
  </r>
  <r>
    <x v="971"/>
    <x v="181"/>
    <d v="2024-06-16T00:00:00"/>
    <s v="Glass Tile"/>
    <n v="2431.2199999999998"/>
  </r>
  <r>
    <x v="972"/>
    <x v="35"/>
    <d v="2025-12-25T00:00:00"/>
    <s v="Vinyl Tile"/>
    <n v="2860.35"/>
  </r>
  <r>
    <x v="973"/>
    <x v="229"/>
    <d v="2024-03-05T00:00:00"/>
    <s v="Mosaic Tile"/>
    <n v="3810.34"/>
  </r>
  <r>
    <x v="974"/>
    <x v="181"/>
    <d v="2025-05-05T00:00:00"/>
    <s v="Granite Tile"/>
    <n v="8475.73"/>
  </r>
  <r>
    <x v="975"/>
    <x v="116"/>
    <d v="2024-06-07T00:00:00"/>
    <s v="Granite Tile"/>
    <n v="6221.31"/>
  </r>
  <r>
    <x v="976"/>
    <x v="241"/>
    <d v="2024-11-03T00:00:00"/>
    <s v="Porcelain Tile"/>
    <n v="7140.9"/>
  </r>
  <r>
    <x v="977"/>
    <x v="78"/>
    <d v="2025-11-27T00:00:00"/>
    <s v="Granite Tile"/>
    <n v="9977.73"/>
  </r>
  <r>
    <x v="978"/>
    <x v="189"/>
    <d v="2024-03-31T00:00:00"/>
    <s v="Glass Tile"/>
    <n v="8677.51"/>
  </r>
  <r>
    <x v="979"/>
    <x v="182"/>
    <d v="2024-12-12T00:00:00"/>
    <s v="Mosaic Tile"/>
    <n v="8642.74"/>
  </r>
  <r>
    <x v="980"/>
    <x v="120"/>
    <d v="2025-11-01T00:00:00"/>
    <s v="Marble Tile"/>
    <n v="8984.08"/>
  </r>
  <r>
    <x v="981"/>
    <x v="212"/>
    <d v="2025-05-07T00:00:00"/>
    <s v="Porcelain Tile"/>
    <n v="2041.46"/>
  </r>
  <r>
    <x v="982"/>
    <x v="244"/>
    <d v="2025-04-11T00:00:00"/>
    <s v="Porcelain Tile"/>
    <n v="2297.9299999999998"/>
  </r>
  <r>
    <x v="983"/>
    <x v="96"/>
    <d v="2025-07-11T00:00:00"/>
    <s v="Terracotta Tile"/>
    <n v="3822.1"/>
  </r>
  <r>
    <x v="984"/>
    <x v="205"/>
    <d v="2025-01-11T00:00:00"/>
    <s v="Glass Tile"/>
    <n v="8251.32"/>
  </r>
  <r>
    <x v="985"/>
    <x v="223"/>
    <d v="2025-07-09T00:00:00"/>
    <s v="Mosaic Tile"/>
    <n v="1859.27"/>
  </r>
  <r>
    <x v="986"/>
    <x v="232"/>
    <d v="2024-11-27T00:00:00"/>
    <s v="Glass Tile"/>
    <n v="4324.3100000000004"/>
  </r>
  <r>
    <x v="987"/>
    <x v="220"/>
    <d v="2024-10-28T00:00:00"/>
    <s v="Ceramic Tile"/>
    <n v="6853.16"/>
  </r>
  <r>
    <x v="988"/>
    <x v="171"/>
    <d v="2025-08-09T00:00:00"/>
    <s v="Granite Tile"/>
    <n v="6648.26"/>
  </r>
  <r>
    <x v="989"/>
    <x v="81"/>
    <d v="2024-08-04T00:00:00"/>
    <s v="Porcelain Tile"/>
    <n v="4417.1400000000003"/>
  </r>
  <r>
    <x v="990"/>
    <x v="2"/>
    <d v="2024-01-12T00:00:00"/>
    <s v="Mosaic Tile"/>
    <n v="1918.8"/>
  </r>
  <r>
    <x v="991"/>
    <x v="199"/>
    <d v="2025-01-05T00:00:00"/>
    <s v="Glass Tile"/>
    <n v="3403.8"/>
  </r>
  <r>
    <x v="992"/>
    <x v="10"/>
    <d v="2025-04-22T00:00:00"/>
    <s v="Marble Tile"/>
    <n v="1354.4"/>
  </r>
  <r>
    <x v="993"/>
    <x v="105"/>
    <d v="2024-10-26T00:00:00"/>
    <s v="Marble Tile"/>
    <n v="1438.88"/>
  </r>
  <r>
    <x v="994"/>
    <x v="212"/>
    <d v="2025-09-17T00:00:00"/>
    <s v="Terracotta Tile"/>
    <n v="9294.02"/>
  </r>
  <r>
    <x v="995"/>
    <x v="131"/>
    <d v="2025-05-04T00:00:00"/>
    <s v="Terracotta Tile"/>
    <n v="8488.0400000000009"/>
  </r>
  <r>
    <x v="996"/>
    <x v="91"/>
    <d v="2024-03-30T00:00:00"/>
    <s v="Ceramic Tile"/>
    <n v="1463.69"/>
  </r>
  <r>
    <x v="997"/>
    <x v="97"/>
    <d v="2025-12-04T00:00:00"/>
    <s v="Ceramic Tile"/>
    <n v="1493.86"/>
  </r>
  <r>
    <x v="998"/>
    <x v="189"/>
    <d v="2025-03-25T00:00:00"/>
    <s v="Vinyl Tile"/>
    <n v="9986.2099999999991"/>
  </r>
  <r>
    <x v="999"/>
    <x v="241"/>
    <d v="2024-04-18T00:00:00"/>
    <s v="Marble Tile"/>
    <n v="9819.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CUST0001"/>
    <n v="261"/>
    <n v="5"/>
    <n v="25658.080000000002"/>
    <n v="2"/>
    <n v="4"/>
    <n v="4"/>
    <n v="10"/>
    <x v="0"/>
  </r>
  <r>
    <s v="CUST0002"/>
    <n v="284"/>
    <n v="3"/>
    <n v="18379.100000000002"/>
    <n v="1"/>
    <n v="3"/>
    <n v="3"/>
    <n v="7"/>
    <x v="1"/>
  </r>
  <r>
    <s v="CUST0003"/>
    <n v="221"/>
    <n v="3"/>
    <n v="15285.53"/>
    <n v="2"/>
    <n v="3"/>
    <n v="2"/>
    <n v="7"/>
    <x v="1"/>
  </r>
  <r>
    <s v="CUST0004"/>
    <n v="72"/>
    <n v="3"/>
    <n v="16168.149999999998"/>
    <n v="4"/>
    <n v="3"/>
    <n v="2"/>
    <n v="9"/>
    <x v="1"/>
  </r>
  <r>
    <s v="CUST0005"/>
    <n v="151"/>
    <n v="3"/>
    <n v="10016.08"/>
    <n v="3"/>
    <n v="3"/>
    <n v="1"/>
    <n v="7"/>
    <x v="1"/>
  </r>
  <r>
    <s v="CUST0006"/>
    <n v="227"/>
    <n v="5"/>
    <n v="15747.199999999999"/>
    <n v="2"/>
    <n v="4"/>
    <n v="2"/>
    <n v="8"/>
    <x v="1"/>
  </r>
  <r>
    <s v="CUST0007"/>
    <n v="16"/>
    <n v="7"/>
    <n v="35370.679999999993"/>
    <n v="5"/>
    <n v="5"/>
    <n v="5"/>
    <n v="15"/>
    <x v="2"/>
  </r>
  <r>
    <s v="CUST0008"/>
    <n v="12"/>
    <n v="4"/>
    <n v="12616.59"/>
    <n v="5"/>
    <n v="3"/>
    <n v="2"/>
    <n v="10"/>
    <x v="0"/>
  </r>
  <r>
    <s v="CUST0009"/>
    <n v="16"/>
    <n v="6"/>
    <n v="41965.96"/>
    <n v="5"/>
    <n v="5"/>
    <n v="5"/>
    <n v="15"/>
    <x v="2"/>
  </r>
  <r>
    <s v="CUST0010"/>
    <n v="100"/>
    <n v="5"/>
    <n v="32474.95"/>
    <n v="3"/>
    <n v="4"/>
    <n v="5"/>
    <n v="12"/>
    <x v="0"/>
  </r>
  <r>
    <s v="CUST0011"/>
    <n v="61"/>
    <n v="3"/>
    <n v="22318.65"/>
    <n v="4"/>
    <n v="3"/>
    <n v="4"/>
    <n v="11"/>
    <x v="0"/>
  </r>
  <r>
    <s v="CUST0012"/>
    <n v="584"/>
    <n v="1"/>
    <n v="9070.18"/>
    <n v="1"/>
    <n v="1"/>
    <n v="1"/>
    <n v="3"/>
    <x v="3"/>
  </r>
  <r>
    <s v="CUST0013"/>
    <n v="83"/>
    <n v="2"/>
    <n v="12303.82"/>
    <n v="4"/>
    <n v="2"/>
    <n v="2"/>
    <n v="8"/>
    <x v="1"/>
  </r>
  <r>
    <s v="CUST0014"/>
    <n v="183"/>
    <n v="4"/>
    <n v="24800.989999999998"/>
    <n v="2"/>
    <n v="3"/>
    <n v="4"/>
    <n v="9"/>
    <x v="1"/>
  </r>
  <r>
    <s v="CUST0015"/>
    <n v="59"/>
    <n v="3"/>
    <n v="10566.1"/>
    <n v="4"/>
    <n v="3"/>
    <n v="2"/>
    <n v="9"/>
    <x v="1"/>
  </r>
  <r>
    <s v="CUST0016"/>
    <n v="183"/>
    <n v="2"/>
    <n v="6634.02"/>
    <n v="2"/>
    <n v="2"/>
    <n v="1"/>
    <n v="5"/>
    <x v="4"/>
  </r>
  <r>
    <s v="CUST0017"/>
    <n v="271"/>
    <n v="2"/>
    <n v="14719.57"/>
    <n v="2"/>
    <n v="2"/>
    <n v="2"/>
    <n v="6"/>
    <x v="4"/>
  </r>
  <r>
    <s v="CUST0018"/>
    <n v="355"/>
    <n v="3"/>
    <n v="15818.079999999998"/>
    <n v="1"/>
    <n v="3"/>
    <n v="2"/>
    <n v="6"/>
    <x v="4"/>
  </r>
  <r>
    <s v="CUST0019"/>
    <n v="86"/>
    <n v="1"/>
    <n v="8714.69"/>
    <n v="4"/>
    <n v="1"/>
    <n v="1"/>
    <n v="6"/>
    <x v="4"/>
  </r>
  <r>
    <s v="CUST0020"/>
    <n v="287"/>
    <n v="1"/>
    <n v="567.35"/>
    <n v="1"/>
    <n v="1"/>
    <n v="1"/>
    <n v="3"/>
    <x v="3"/>
  </r>
  <r>
    <s v="CUST0021"/>
    <n v="206"/>
    <n v="7"/>
    <n v="52120.80999999999"/>
    <n v="2"/>
    <n v="5"/>
    <n v="5"/>
    <n v="12"/>
    <x v="0"/>
  </r>
  <r>
    <s v="CUST0022"/>
    <n v="405"/>
    <n v="4"/>
    <n v="18572.29"/>
    <n v="1"/>
    <n v="3"/>
    <n v="3"/>
    <n v="7"/>
    <x v="1"/>
  </r>
  <r>
    <s v="CUST0023"/>
    <n v="40"/>
    <n v="6"/>
    <n v="26944.800000000003"/>
    <n v="5"/>
    <n v="5"/>
    <n v="4"/>
    <n v="14"/>
    <x v="2"/>
  </r>
  <r>
    <s v="CUST0024"/>
    <n v="76"/>
    <n v="2"/>
    <n v="9001.8499999999985"/>
    <n v="4"/>
    <n v="2"/>
    <n v="1"/>
    <n v="7"/>
    <x v="1"/>
  </r>
  <r>
    <s v="CUST0025"/>
    <n v="76"/>
    <n v="4"/>
    <n v="26478.37"/>
    <n v="4"/>
    <n v="3"/>
    <n v="4"/>
    <n v="11"/>
    <x v="0"/>
  </r>
  <r>
    <s v="CUST0026"/>
    <n v="99"/>
    <n v="2"/>
    <n v="9985.02"/>
    <n v="3"/>
    <n v="2"/>
    <n v="1"/>
    <n v="6"/>
    <x v="4"/>
  </r>
  <r>
    <s v="CUST0027"/>
    <n v="231"/>
    <n v="5"/>
    <n v="24291.22"/>
    <n v="2"/>
    <n v="4"/>
    <n v="4"/>
    <n v="10"/>
    <x v="0"/>
  </r>
  <r>
    <s v="CUST0028"/>
    <n v="87"/>
    <n v="2"/>
    <n v="8263.2800000000007"/>
    <n v="4"/>
    <n v="2"/>
    <n v="1"/>
    <n v="7"/>
    <x v="1"/>
  </r>
  <r>
    <s v="CUST0029"/>
    <n v="111"/>
    <n v="3"/>
    <n v="14840.539999999999"/>
    <n v="3"/>
    <n v="3"/>
    <n v="2"/>
    <n v="8"/>
    <x v="1"/>
  </r>
  <r>
    <s v="CUST0030"/>
    <n v="63"/>
    <n v="5"/>
    <n v="17836.77"/>
    <n v="4"/>
    <n v="4"/>
    <n v="3"/>
    <n v="11"/>
    <x v="0"/>
  </r>
  <r>
    <s v="CUST0031"/>
    <n v="23"/>
    <n v="5"/>
    <n v="31460.059999999998"/>
    <n v="5"/>
    <n v="4"/>
    <n v="5"/>
    <n v="14"/>
    <x v="2"/>
  </r>
  <r>
    <s v="CUST0032"/>
    <n v="138"/>
    <n v="7"/>
    <n v="45002.880000000005"/>
    <n v="3"/>
    <n v="5"/>
    <n v="5"/>
    <n v="13"/>
    <x v="2"/>
  </r>
  <r>
    <s v="CUST0033"/>
    <n v="274"/>
    <n v="2"/>
    <n v="9960.9500000000007"/>
    <n v="2"/>
    <n v="2"/>
    <n v="1"/>
    <n v="5"/>
    <x v="4"/>
  </r>
  <r>
    <s v="CUST0034"/>
    <n v="90"/>
    <n v="5"/>
    <n v="25672.780000000002"/>
    <n v="4"/>
    <n v="4"/>
    <n v="4"/>
    <n v="12"/>
    <x v="0"/>
  </r>
  <r>
    <s v="CUST0035"/>
    <n v="250"/>
    <n v="7"/>
    <n v="37355.460000000006"/>
    <n v="2"/>
    <n v="5"/>
    <n v="5"/>
    <n v="12"/>
    <x v="0"/>
  </r>
  <r>
    <s v="CUST0036"/>
    <n v="130"/>
    <n v="9"/>
    <n v="54955.4"/>
    <n v="3"/>
    <n v="5"/>
    <n v="5"/>
    <n v="13"/>
    <x v="2"/>
  </r>
  <r>
    <s v="CUST0037"/>
    <n v="15"/>
    <n v="4"/>
    <n v="18100.29"/>
    <n v="5"/>
    <n v="3"/>
    <n v="3"/>
    <n v="11"/>
    <x v="0"/>
  </r>
  <r>
    <s v="CUST0038"/>
    <n v="225"/>
    <n v="3"/>
    <n v="17957.519999999997"/>
    <n v="2"/>
    <n v="3"/>
    <n v="3"/>
    <n v="8"/>
    <x v="1"/>
  </r>
  <r>
    <s v="CUST0039"/>
    <n v="143"/>
    <n v="4"/>
    <n v="22915.710000000003"/>
    <n v="3"/>
    <n v="3"/>
    <n v="4"/>
    <n v="10"/>
    <x v="0"/>
  </r>
  <r>
    <s v="CUST0040"/>
    <n v="281"/>
    <n v="5"/>
    <n v="25990.339999999997"/>
    <n v="1"/>
    <n v="4"/>
    <n v="4"/>
    <n v="9"/>
    <x v="1"/>
  </r>
  <r>
    <s v="CUST0041"/>
    <n v="333"/>
    <n v="5"/>
    <n v="10039.279999999999"/>
    <n v="1"/>
    <n v="4"/>
    <n v="1"/>
    <n v="6"/>
    <x v="4"/>
  </r>
  <r>
    <s v="CUST0042"/>
    <n v="87"/>
    <n v="2"/>
    <n v="7846.92"/>
    <n v="4"/>
    <n v="2"/>
    <n v="1"/>
    <n v="7"/>
    <x v="1"/>
  </r>
  <r>
    <s v="CUST0043"/>
    <n v="58"/>
    <n v="4"/>
    <n v="25073.46"/>
    <n v="4"/>
    <n v="3"/>
    <n v="4"/>
    <n v="11"/>
    <x v="0"/>
  </r>
  <r>
    <s v="CUST0044"/>
    <n v="22"/>
    <n v="11"/>
    <n v="63453.25"/>
    <n v="5"/>
    <n v="5"/>
    <n v="5"/>
    <n v="15"/>
    <x v="2"/>
  </r>
  <r>
    <s v="CUST0045"/>
    <n v="38"/>
    <n v="8"/>
    <n v="37863.629999999997"/>
    <n v="5"/>
    <n v="5"/>
    <n v="5"/>
    <n v="15"/>
    <x v="2"/>
  </r>
  <r>
    <s v="CUST0046"/>
    <n v="26"/>
    <n v="4"/>
    <n v="13435.27"/>
    <n v="5"/>
    <n v="3"/>
    <n v="2"/>
    <n v="10"/>
    <x v="0"/>
  </r>
  <r>
    <s v="CUST0047"/>
    <n v="122"/>
    <n v="5"/>
    <n v="18920.43"/>
    <n v="3"/>
    <n v="4"/>
    <n v="3"/>
    <n v="10"/>
    <x v="0"/>
  </r>
  <r>
    <s v="CUST0048"/>
    <n v="25"/>
    <n v="4"/>
    <n v="11647.74"/>
    <n v="5"/>
    <n v="3"/>
    <n v="2"/>
    <n v="10"/>
    <x v="0"/>
  </r>
  <r>
    <s v="CUST0049"/>
    <n v="123"/>
    <n v="5"/>
    <n v="26958.43"/>
    <n v="3"/>
    <n v="4"/>
    <n v="4"/>
    <n v="11"/>
    <x v="0"/>
  </r>
  <r>
    <s v="CUST0050"/>
    <n v="671"/>
    <n v="2"/>
    <n v="5083.22"/>
    <n v="1"/>
    <n v="2"/>
    <n v="1"/>
    <n v="4"/>
    <x v="4"/>
  </r>
  <r>
    <s v="CUST0051"/>
    <n v="220"/>
    <n v="4"/>
    <n v="10541.96"/>
    <n v="2"/>
    <n v="3"/>
    <n v="2"/>
    <n v="7"/>
    <x v="1"/>
  </r>
  <r>
    <s v="CUST0052"/>
    <n v="172"/>
    <n v="7"/>
    <n v="38842.89"/>
    <n v="3"/>
    <n v="5"/>
    <n v="5"/>
    <n v="13"/>
    <x v="2"/>
  </r>
  <r>
    <s v="CUST0053"/>
    <n v="96"/>
    <n v="4"/>
    <n v="27495.25"/>
    <n v="3"/>
    <n v="3"/>
    <n v="4"/>
    <n v="10"/>
    <x v="0"/>
  </r>
  <r>
    <s v="CUST0054"/>
    <n v="99"/>
    <n v="4"/>
    <n v="14444.490000000002"/>
    <n v="3"/>
    <n v="3"/>
    <n v="2"/>
    <n v="8"/>
    <x v="1"/>
  </r>
  <r>
    <s v="CUST0055"/>
    <n v="72"/>
    <n v="5"/>
    <n v="29741.32"/>
    <n v="4"/>
    <n v="4"/>
    <n v="5"/>
    <n v="13"/>
    <x v="2"/>
  </r>
  <r>
    <s v="CUST0056"/>
    <n v="26"/>
    <n v="6"/>
    <n v="27817.600000000002"/>
    <n v="5"/>
    <n v="5"/>
    <n v="4"/>
    <n v="14"/>
    <x v="2"/>
  </r>
  <r>
    <s v="CUST0057"/>
    <n v="27"/>
    <n v="9"/>
    <n v="38000.670000000006"/>
    <n v="5"/>
    <n v="5"/>
    <n v="5"/>
    <n v="15"/>
    <x v="2"/>
  </r>
  <r>
    <s v="CUST0058"/>
    <n v="34"/>
    <n v="5"/>
    <n v="20344.7"/>
    <n v="5"/>
    <n v="4"/>
    <n v="3"/>
    <n v="12"/>
    <x v="0"/>
  </r>
  <r>
    <s v="CUST0059"/>
    <n v="245"/>
    <n v="3"/>
    <n v="20341.93"/>
    <n v="2"/>
    <n v="3"/>
    <n v="3"/>
    <n v="8"/>
    <x v="1"/>
  </r>
  <r>
    <s v="CUST0060"/>
    <n v="184"/>
    <n v="6"/>
    <n v="31968.03"/>
    <n v="2"/>
    <n v="5"/>
    <n v="5"/>
    <n v="12"/>
    <x v="0"/>
  </r>
  <r>
    <s v="CUST0061"/>
    <n v="549"/>
    <n v="1"/>
    <n v="6307.52"/>
    <n v="1"/>
    <n v="1"/>
    <n v="1"/>
    <n v="3"/>
    <x v="3"/>
  </r>
  <r>
    <s v="CUST0062"/>
    <n v="119"/>
    <n v="7"/>
    <n v="37707.379999999997"/>
    <n v="3"/>
    <n v="5"/>
    <n v="5"/>
    <n v="13"/>
    <x v="2"/>
  </r>
  <r>
    <s v="CUST0063"/>
    <n v="16"/>
    <n v="6"/>
    <n v="23600.69"/>
    <n v="5"/>
    <n v="5"/>
    <n v="4"/>
    <n v="14"/>
    <x v="2"/>
  </r>
  <r>
    <s v="CUST0064"/>
    <n v="44"/>
    <n v="7"/>
    <n v="38999.08"/>
    <n v="4"/>
    <n v="5"/>
    <n v="5"/>
    <n v="14"/>
    <x v="2"/>
  </r>
  <r>
    <s v="CUST0065"/>
    <n v="235"/>
    <n v="7"/>
    <n v="26334.97"/>
    <n v="2"/>
    <n v="5"/>
    <n v="4"/>
    <n v="11"/>
    <x v="0"/>
  </r>
  <r>
    <s v="CUST0066"/>
    <n v="20"/>
    <n v="12"/>
    <n v="54125.440000000002"/>
    <n v="5"/>
    <n v="5"/>
    <n v="5"/>
    <n v="15"/>
    <x v="2"/>
  </r>
  <r>
    <s v="CUST0067"/>
    <n v="213"/>
    <n v="5"/>
    <n v="28906.720000000001"/>
    <n v="2"/>
    <n v="4"/>
    <n v="5"/>
    <n v="11"/>
    <x v="0"/>
  </r>
  <r>
    <s v="CUST0068"/>
    <n v="648"/>
    <n v="1"/>
    <n v="4498.88"/>
    <n v="1"/>
    <n v="1"/>
    <n v="1"/>
    <n v="3"/>
    <x v="3"/>
  </r>
  <r>
    <s v="CUST0069"/>
    <n v="156"/>
    <n v="3"/>
    <n v="16728.57"/>
    <n v="3"/>
    <n v="3"/>
    <n v="3"/>
    <n v="9"/>
    <x v="1"/>
  </r>
  <r>
    <s v="CUST0070"/>
    <n v="53"/>
    <n v="5"/>
    <n v="28636.230000000003"/>
    <n v="4"/>
    <n v="4"/>
    <n v="4"/>
    <n v="12"/>
    <x v="0"/>
  </r>
  <r>
    <s v="CUST0071"/>
    <n v="34"/>
    <n v="1"/>
    <n v="1578.87"/>
    <n v="5"/>
    <n v="1"/>
    <n v="1"/>
    <n v="7"/>
    <x v="1"/>
  </r>
  <r>
    <s v="CUST0072"/>
    <n v="39"/>
    <n v="8"/>
    <n v="45251.630000000005"/>
    <n v="5"/>
    <n v="5"/>
    <n v="5"/>
    <n v="15"/>
    <x v="2"/>
  </r>
  <r>
    <s v="CUST0073"/>
    <n v="339"/>
    <n v="4"/>
    <n v="16682.660000000003"/>
    <n v="1"/>
    <n v="3"/>
    <n v="3"/>
    <n v="7"/>
    <x v="1"/>
  </r>
  <r>
    <s v="CUST0074"/>
    <n v="141"/>
    <n v="2"/>
    <n v="12612.1"/>
    <n v="3"/>
    <n v="2"/>
    <n v="2"/>
    <n v="7"/>
    <x v="1"/>
  </r>
  <r>
    <s v="CUST0075"/>
    <n v="95"/>
    <n v="2"/>
    <n v="19224.769999999997"/>
    <n v="4"/>
    <n v="2"/>
    <n v="3"/>
    <n v="9"/>
    <x v="1"/>
  </r>
  <r>
    <s v="CUST0076"/>
    <n v="20"/>
    <n v="5"/>
    <n v="19230.38"/>
    <n v="5"/>
    <n v="4"/>
    <n v="3"/>
    <n v="12"/>
    <x v="0"/>
  </r>
  <r>
    <s v="CUST0077"/>
    <n v="137"/>
    <n v="3"/>
    <n v="7656.1500000000005"/>
    <n v="3"/>
    <n v="3"/>
    <n v="1"/>
    <n v="7"/>
    <x v="1"/>
  </r>
  <r>
    <s v="CUST0078"/>
    <n v="433"/>
    <n v="4"/>
    <n v="21533.86"/>
    <n v="1"/>
    <n v="3"/>
    <n v="3"/>
    <n v="7"/>
    <x v="1"/>
  </r>
  <r>
    <s v="CUST0079"/>
    <n v="364"/>
    <n v="2"/>
    <n v="14464.84"/>
    <n v="1"/>
    <n v="2"/>
    <n v="2"/>
    <n v="5"/>
    <x v="4"/>
  </r>
  <r>
    <s v="CUST0080"/>
    <n v="165"/>
    <n v="5"/>
    <n v="33144.450000000004"/>
    <n v="3"/>
    <n v="4"/>
    <n v="5"/>
    <n v="12"/>
    <x v="0"/>
  </r>
  <r>
    <s v="CUST0081"/>
    <n v="24"/>
    <n v="4"/>
    <n v="23946.329999999998"/>
    <n v="5"/>
    <n v="3"/>
    <n v="4"/>
    <n v="12"/>
    <x v="0"/>
  </r>
  <r>
    <s v="CUST0082"/>
    <n v="121"/>
    <n v="2"/>
    <n v="2220.5"/>
    <n v="3"/>
    <n v="2"/>
    <n v="1"/>
    <n v="6"/>
    <x v="4"/>
  </r>
  <r>
    <s v="CUST0083"/>
    <n v="354"/>
    <n v="1"/>
    <n v="8029.89"/>
    <n v="1"/>
    <n v="1"/>
    <n v="1"/>
    <n v="3"/>
    <x v="3"/>
  </r>
  <r>
    <s v="CUST0084"/>
    <n v="196"/>
    <n v="3"/>
    <n v="7249.8099999999995"/>
    <n v="2"/>
    <n v="3"/>
    <n v="1"/>
    <n v="6"/>
    <x v="4"/>
  </r>
  <r>
    <s v="CUST0085"/>
    <n v="611"/>
    <n v="2"/>
    <n v="6400.89"/>
    <n v="1"/>
    <n v="2"/>
    <n v="1"/>
    <n v="4"/>
    <x v="4"/>
  </r>
  <r>
    <s v="CUST0086"/>
    <n v="53"/>
    <n v="3"/>
    <n v="26211.48"/>
    <n v="4"/>
    <n v="3"/>
    <n v="4"/>
    <n v="11"/>
    <x v="0"/>
  </r>
  <r>
    <s v="CUST0087"/>
    <n v="57"/>
    <n v="8"/>
    <n v="31543.379999999997"/>
    <n v="4"/>
    <n v="5"/>
    <n v="5"/>
    <n v="14"/>
    <x v="2"/>
  </r>
  <r>
    <s v="CUST0088"/>
    <n v="137"/>
    <n v="5"/>
    <n v="37556.49"/>
    <n v="3"/>
    <n v="4"/>
    <n v="5"/>
    <n v="12"/>
    <x v="0"/>
  </r>
  <r>
    <s v="CUST0089"/>
    <n v="39"/>
    <n v="4"/>
    <n v="31721.43"/>
    <n v="5"/>
    <n v="3"/>
    <n v="5"/>
    <n v="13"/>
    <x v="2"/>
  </r>
  <r>
    <s v="CUST0090"/>
    <n v="46"/>
    <n v="3"/>
    <n v="14804.55"/>
    <n v="4"/>
    <n v="3"/>
    <n v="2"/>
    <n v="9"/>
    <x v="1"/>
  </r>
  <r>
    <s v="CUST0091"/>
    <n v="487"/>
    <n v="2"/>
    <n v="17088.05"/>
    <n v="1"/>
    <n v="2"/>
    <n v="3"/>
    <n v="6"/>
    <x v="4"/>
  </r>
  <r>
    <s v="CUST0092"/>
    <n v="273"/>
    <n v="3"/>
    <n v="26743.67"/>
    <n v="2"/>
    <n v="3"/>
    <n v="4"/>
    <n v="9"/>
    <x v="1"/>
  </r>
  <r>
    <s v="CUST0093"/>
    <n v="130"/>
    <n v="3"/>
    <n v="9229.4399999999987"/>
    <n v="3"/>
    <n v="3"/>
    <n v="1"/>
    <n v="7"/>
    <x v="1"/>
  </r>
  <r>
    <s v="CUST0094"/>
    <n v="221"/>
    <n v="2"/>
    <n v="17051.14"/>
    <n v="2"/>
    <n v="2"/>
    <n v="3"/>
    <n v="7"/>
    <x v="1"/>
  </r>
  <r>
    <s v="CUST0095"/>
    <n v="185"/>
    <n v="3"/>
    <n v="8804.35"/>
    <n v="2"/>
    <n v="3"/>
    <n v="1"/>
    <n v="6"/>
    <x v="4"/>
  </r>
  <r>
    <s v="CUST0096"/>
    <n v="39"/>
    <n v="6"/>
    <n v="35066.71"/>
    <n v="5"/>
    <n v="5"/>
    <n v="5"/>
    <n v="15"/>
    <x v="2"/>
  </r>
  <r>
    <s v="CUST0097"/>
    <n v="83"/>
    <n v="4"/>
    <n v="16051.52"/>
    <n v="4"/>
    <n v="3"/>
    <n v="2"/>
    <n v="9"/>
    <x v="1"/>
  </r>
  <r>
    <s v="CUST0098"/>
    <n v="215"/>
    <n v="5"/>
    <n v="22151.14"/>
    <n v="2"/>
    <n v="4"/>
    <n v="3"/>
    <n v="9"/>
    <x v="1"/>
  </r>
  <r>
    <s v="CUST0099"/>
    <n v="11"/>
    <n v="7"/>
    <n v="37302.569999999992"/>
    <n v="5"/>
    <n v="5"/>
    <n v="5"/>
    <n v="15"/>
    <x v="2"/>
  </r>
  <r>
    <s v="CUST0100"/>
    <n v="53"/>
    <n v="3"/>
    <n v="19695.079999999998"/>
    <n v="4"/>
    <n v="3"/>
    <n v="3"/>
    <n v="10"/>
    <x v="0"/>
  </r>
  <r>
    <s v="CUST0101"/>
    <n v="207"/>
    <n v="1"/>
    <n v="4848.0600000000004"/>
    <n v="2"/>
    <n v="1"/>
    <n v="1"/>
    <n v="4"/>
    <x v="4"/>
  </r>
  <r>
    <s v="CUST0102"/>
    <n v="224"/>
    <n v="3"/>
    <n v="10478.02"/>
    <n v="2"/>
    <n v="3"/>
    <n v="2"/>
    <n v="7"/>
    <x v="1"/>
  </r>
  <r>
    <s v="CUST0103"/>
    <n v="225"/>
    <n v="4"/>
    <n v="27447.85"/>
    <n v="2"/>
    <n v="3"/>
    <n v="4"/>
    <n v="9"/>
    <x v="1"/>
  </r>
  <r>
    <s v="CUST0104"/>
    <n v="350"/>
    <n v="2"/>
    <n v="11309.900000000001"/>
    <n v="1"/>
    <n v="2"/>
    <n v="2"/>
    <n v="5"/>
    <x v="4"/>
  </r>
  <r>
    <s v="CUST0105"/>
    <n v="147"/>
    <n v="2"/>
    <n v="5048.83"/>
    <n v="3"/>
    <n v="2"/>
    <n v="1"/>
    <n v="6"/>
    <x v="4"/>
  </r>
  <r>
    <s v="CUST0106"/>
    <n v="203"/>
    <n v="3"/>
    <n v="10926.93"/>
    <n v="2"/>
    <n v="3"/>
    <n v="2"/>
    <n v="7"/>
    <x v="1"/>
  </r>
  <r>
    <s v="CUST0107"/>
    <n v="86"/>
    <n v="6"/>
    <n v="39724.119999999995"/>
    <n v="4"/>
    <n v="5"/>
    <n v="5"/>
    <n v="14"/>
    <x v="2"/>
  </r>
  <r>
    <s v="CUST0108"/>
    <n v="87"/>
    <n v="4"/>
    <n v="25089.85"/>
    <n v="4"/>
    <n v="3"/>
    <n v="4"/>
    <n v="11"/>
    <x v="0"/>
  </r>
  <r>
    <s v="CUST0109"/>
    <n v="117"/>
    <n v="6"/>
    <n v="27232.190000000002"/>
    <n v="3"/>
    <n v="5"/>
    <n v="4"/>
    <n v="12"/>
    <x v="0"/>
  </r>
  <r>
    <s v="CUST0110"/>
    <n v="17"/>
    <n v="6"/>
    <n v="41154.899999999994"/>
    <n v="5"/>
    <n v="5"/>
    <n v="5"/>
    <n v="15"/>
    <x v="2"/>
  </r>
  <r>
    <s v="CUST0111"/>
    <n v="12"/>
    <n v="4"/>
    <n v="17134.79"/>
    <n v="5"/>
    <n v="3"/>
    <n v="3"/>
    <n v="11"/>
    <x v="0"/>
  </r>
  <r>
    <s v="CUST0112"/>
    <n v="307"/>
    <n v="6"/>
    <n v="28419.94"/>
    <n v="1"/>
    <n v="5"/>
    <n v="4"/>
    <n v="10"/>
    <x v="0"/>
  </r>
  <r>
    <s v="CUST0113"/>
    <n v="89"/>
    <n v="6"/>
    <n v="39824.29"/>
    <n v="4"/>
    <n v="5"/>
    <n v="5"/>
    <n v="14"/>
    <x v="2"/>
  </r>
  <r>
    <s v="CUST0115"/>
    <n v="210"/>
    <n v="5"/>
    <n v="32752.22"/>
    <n v="2"/>
    <n v="4"/>
    <n v="5"/>
    <n v="11"/>
    <x v="0"/>
  </r>
  <r>
    <s v="CUST0116"/>
    <n v="207"/>
    <n v="3"/>
    <n v="12200.46"/>
    <n v="2"/>
    <n v="3"/>
    <n v="2"/>
    <n v="7"/>
    <x v="1"/>
  </r>
  <r>
    <s v="CUST0117"/>
    <n v="174"/>
    <n v="3"/>
    <n v="8553.52"/>
    <n v="2"/>
    <n v="3"/>
    <n v="1"/>
    <n v="6"/>
    <x v="4"/>
  </r>
  <r>
    <s v="CUST0119"/>
    <n v="147"/>
    <n v="7"/>
    <n v="33360.949999999997"/>
    <n v="3"/>
    <n v="5"/>
    <n v="5"/>
    <n v="13"/>
    <x v="2"/>
  </r>
  <r>
    <s v="CUST0120"/>
    <n v="170"/>
    <n v="3"/>
    <n v="17948.939999999999"/>
    <n v="3"/>
    <n v="3"/>
    <n v="3"/>
    <n v="9"/>
    <x v="1"/>
  </r>
  <r>
    <s v="CUST0121"/>
    <n v="255"/>
    <n v="3"/>
    <n v="5106.4900000000007"/>
    <n v="2"/>
    <n v="3"/>
    <n v="1"/>
    <n v="6"/>
    <x v="4"/>
  </r>
  <r>
    <s v="CUST0122"/>
    <n v="283"/>
    <n v="7"/>
    <n v="35503.819999999992"/>
    <n v="1"/>
    <n v="5"/>
    <n v="5"/>
    <n v="11"/>
    <x v="0"/>
  </r>
  <r>
    <s v="CUST0123"/>
    <n v="29"/>
    <n v="2"/>
    <n v="10463.65"/>
    <n v="5"/>
    <n v="2"/>
    <n v="2"/>
    <n v="9"/>
    <x v="1"/>
  </r>
  <r>
    <s v="CUST0124"/>
    <n v="47"/>
    <n v="5"/>
    <n v="13444.85"/>
    <n v="4"/>
    <n v="4"/>
    <n v="2"/>
    <n v="10"/>
    <x v="0"/>
  </r>
  <r>
    <s v="CUST0125"/>
    <n v="51"/>
    <n v="5"/>
    <n v="19807.47"/>
    <n v="4"/>
    <n v="4"/>
    <n v="3"/>
    <n v="11"/>
    <x v="0"/>
  </r>
  <r>
    <s v="CUST0127"/>
    <n v="193"/>
    <n v="6"/>
    <n v="35115.829999999994"/>
    <n v="2"/>
    <n v="5"/>
    <n v="5"/>
    <n v="12"/>
    <x v="0"/>
  </r>
  <r>
    <s v="CUST0128"/>
    <n v="151"/>
    <n v="6"/>
    <n v="31003.290000000005"/>
    <n v="3"/>
    <n v="5"/>
    <n v="5"/>
    <n v="13"/>
    <x v="2"/>
  </r>
  <r>
    <s v="CUST0129"/>
    <n v="136"/>
    <n v="4"/>
    <n v="12901.78"/>
    <n v="3"/>
    <n v="3"/>
    <n v="2"/>
    <n v="8"/>
    <x v="1"/>
  </r>
  <r>
    <s v="CUST0130"/>
    <n v="60"/>
    <n v="3"/>
    <n v="15367.3"/>
    <n v="4"/>
    <n v="3"/>
    <n v="2"/>
    <n v="9"/>
    <x v="1"/>
  </r>
  <r>
    <s v="CUST0131"/>
    <n v="43"/>
    <n v="5"/>
    <n v="36050.659999999996"/>
    <n v="4"/>
    <n v="4"/>
    <n v="5"/>
    <n v="13"/>
    <x v="2"/>
  </r>
  <r>
    <s v="CUST0132"/>
    <n v="189"/>
    <n v="2"/>
    <n v="8433.98"/>
    <n v="2"/>
    <n v="2"/>
    <n v="1"/>
    <n v="5"/>
    <x v="4"/>
  </r>
  <r>
    <s v="CUST0133"/>
    <n v="40"/>
    <n v="6"/>
    <n v="40773.25"/>
    <n v="5"/>
    <n v="5"/>
    <n v="5"/>
    <n v="15"/>
    <x v="2"/>
  </r>
  <r>
    <s v="CUST0135"/>
    <n v="365"/>
    <n v="2"/>
    <n v="11402.82"/>
    <n v="1"/>
    <n v="2"/>
    <n v="2"/>
    <n v="5"/>
    <x v="4"/>
  </r>
  <r>
    <s v="CUST0136"/>
    <n v="23"/>
    <n v="6"/>
    <n v="37759.21"/>
    <n v="5"/>
    <n v="5"/>
    <n v="5"/>
    <n v="15"/>
    <x v="2"/>
  </r>
  <r>
    <s v="CUST0137"/>
    <n v="497"/>
    <n v="2"/>
    <n v="4862.6900000000005"/>
    <n v="1"/>
    <n v="2"/>
    <n v="1"/>
    <n v="4"/>
    <x v="4"/>
  </r>
  <r>
    <s v="CUST0138"/>
    <n v="199"/>
    <n v="6"/>
    <n v="37441.32"/>
    <n v="2"/>
    <n v="5"/>
    <n v="5"/>
    <n v="12"/>
    <x v="0"/>
  </r>
  <r>
    <s v="CUST0139"/>
    <n v="559"/>
    <n v="2"/>
    <n v="12022.96"/>
    <n v="1"/>
    <n v="2"/>
    <n v="2"/>
    <n v="5"/>
    <x v="4"/>
  </r>
  <r>
    <s v="CUST0140"/>
    <n v="199"/>
    <n v="2"/>
    <n v="7096.85"/>
    <n v="2"/>
    <n v="2"/>
    <n v="1"/>
    <n v="5"/>
    <x v="4"/>
  </r>
  <r>
    <s v="CUST0141"/>
    <n v="310"/>
    <n v="5"/>
    <n v="26865.870000000003"/>
    <n v="1"/>
    <n v="4"/>
    <n v="4"/>
    <n v="9"/>
    <x v="1"/>
  </r>
  <r>
    <s v="CUST0142"/>
    <n v="82"/>
    <n v="4"/>
    <n v="13377.78"/>
    <n v="4"/>
    <n v="3"/>
    <n v="2"/>
    <n v="9"/>
    <x v="1"/>
  </r>
  <r>
    <s v="CUST0143"/>
    <n v="525"/>
    <n v="2"/>
    <n v="6084.24"/>
    <n v="1"/>
    <n v="2"/>
    <n v="1"/>
    <n v="4"/>
    <x v="4"/>
  </r>
  <r>
    <s v="CUST0144"/>
    <n v="40"/>
    <n v="4"/>
    <n v="13570.23"/>
    <n v="5"/>
    <n v="3"/>
    <n v="2"/>
    <n v="10"/>
    <x v="0"/>
  </r>
  <r>
    <s v="CUST0145"/>
    <n v="331"/>
    <n v="3"/>
    <n v="16981.47"/>
    <n v="1"/>
    <n v="3"/>
    <n v="3"/>
    <n v="7"/>
    <x v="1"/>
  </r>
  <r>
    <s v="CUST0146"/>
    <n v="142"/>
    <n v="4"/>
    <n v="14356.420000000002"/>
    <n v="3"/>
    <n v="3"/>
    <n v="2"/>
    <n v="8"/>
    <x v="1"/>
  </r>
  <r>
    <s v="CUST0147"/>
    <n v="170"/>
    <n v="2"/>
    <n v="10356.75"/>
    <n v="3"/>
    <n v="2"/>
    <n v="2"/>
    <n v="7"/>
    <x v="1"/>
  </r>
  <r>
    <s v="CUST0148"/>
    <n v="361"/>
    <n v="4"/>
    <n v="28752.100000000002"/>
    <n v="1"/>
    <n v="3"/>
    <n v="5"/>
    <n v="9"/>
    <x v="1"/>
  </r>
  <r>
    <s v="CUST0149"/>
    <n v="334"/>
    <n v="4"/>
    <n v="21597.279999999999"/>
    <n v="1"/>
    <n v="3"/>
    <n v="3"/>
    <n v="7"/>
    <x v="1"/>
  </r>
  <r>
    <s v="CUST0150"/>
    <n v="283"/>
    <n v="2"/>
    <n v="4472.58"/>
    <n v="1"/>
    <n v="2"/>
    <n v="1"/>
    <n v="4"/>
    <x v="4"/>
  </r>
  <r>
    <s v="CUST0151"/>
    <n v="392"/>
    <n v="4"/>
    <n v="24895.72"/>
    <n v="1"/>
    <n v="3"/>
    <n v="4"/>
    <n v="8"/>
    <x v="1"/>
  </r>
  <r>
    <s v="CUST0152"/>
    <n v="265"/>
    <n v="2"/>
    <n v="9083.6"/>
    <n v="2"/>
    <n v="2"/>
    <n v="1"/>
    <n v="5"/>
    <x v="4"/>
  </r>
  <r>
    <s v="CUST0153"/>
    <n v="32"/>
    <n v="3"/>
    <n v="13559.029999999999"/>
    <n v="5"/>
    <n v="3"/>
    <n v="2"/>
    <n v="10"/>
    <x v="0"/>
  </r>
  <r>
    <s v="CUST0154"/>
    <n v="141"/>
    <n v="3"/>
    <n v="4222.37"/>
    <n v="3"/>
    <n v="3"/>
    <n v="1"/>
    <n v="7"/>
    <x v="1"/>
  </r>
  <r>
    <s v="CUST0156"/>
    <n v="65"/>
    <n v="5"/>
    <n v="23878.140000000003"/>
    <n v="4"/>
    <n v="4"/>
    <n v="4"/>
    <n v="12"/>
    <x v="0"/>
  </r>
  <r>
    <s v="CUST0157"/>
    <n v="48"/>
    <n v="3"/>
    <n v="18676.099999999999"/>
    <n v="4"/>
    <n v="3"/>
    <n v="3"/>
    <n v="10"/>
    <x v="0"/>
  </r>
  <r>
    <s v="CUST0158"/>
    <n v="455"/>
    <n v="4"/>
    <n v="16504.04"/>
    <n v="1"/>
    <n v="3"/>
    <n v="3"/>
    <n v="7"/>
    <x v="1"/>
  </r>
  <r>
    <s v="CUST0159"/>
    <n v="60"/>
    <n v="7"/>
    <n v="26534.639999999999"/>
    <n v="4"/>
    <n v="5"/>
    <n v="4"/>
    <n v="13"/>
    <x v="2"/>
  </r>
  <r>
    <s v="CUST0160"/>
    <n v="521"/>
    <n v="1"/>
    <n v="4805.8999999999996"/>
    <n v="1"/>
    <n v="1"/>
    <n v="1"/>
    <n v="3"/>
    <x v="3"/>
  </r>
  <r>
    <s v="CUST0161"/>
    <n v="333"/>
    <n v="6"/>
    <n v="19559.7"/>
    <n v="1"/>
    <n v="5"/>
    <n v="3"/>
    <n v="9"/>
    <x v="1"/>
  </r>
  <r>
    <s v="CUST0162"/>
    <n v="146"/>
    <n v="3"/>
    <n v="17803.97"/>
    <n v="3"/>
    <n v="3"/>
    <n v="3"/>
    <n v="9"/>
    <x v="1"/>
  </r>
  <r>
    <s v="CUST0163"/>
    <n v="115"/>
    <n v="3"/>
    <n v="18380.310000000001"/>
    <n v="3"/>
    <n v="3"/>
    <n v="3"/>
    <n v="9"/>
    <x v="1"/>
  </r>
  <r>
    <s v="CUST0164"/>
    <n v="35"/>
    <n v="5"/>
    <n v="36554.300000000003"/>
    <n v="5"/>
    <n v="4"/>
    <n v="5"/>
    <n v="14"/>
    <x v="2"/>
  </r>
  <r>
    <s v="CUST0165"/>
    <n v="71"/>
    <n v="5"/>
    <n v="23692.1"/>
    <n v="4"/>
    <n v="4"/>
    <n v="4"/>
    <n v="12"/>
    <x v="0"/>
  </r>
  <r>
    <s v="CUST0166"/>
    <n v="112"/>
    <n v="5"/>
    <n v="19614.8"/>
    <n v="3"/>
    <n v="4"/>
    <n v="3"/>
    <n v="10"/>
    <x v="0"/>
  </r>
  <r>
    <s v="CUST0167"/>
    <n v="213"/>
    <n v="1"/>
    <n v="2058.4299999999998"/>
    <n v="2"/>
    <n v="1"/>
    <n v="1"/>
    <n v="4"/>
    <x v="4"/>
  </r>
  <r>
    <s v="CUST0168"/>
    <n v="13"/>
    <n v="6"/>
    <n v="27341.309999999998"/>
    <n v="5"/>
    <n v="5"/>
    <n v="4"/>
    <n v="14"/>
    <x v="2"/>
  </r>
  <r>
    <s v="CUST0169"/>
    <n v="190"/>
    <n v="4"/>
    <n v="25987.39"/>
    <n v="2"/>
    <n v="3"/>
    <n v="4"/>
    <n v="9"/>
    <x v="1"/>
  </r>
  <r>
    <s v="CUST0170"/>
    <n v="80"/>
    <n v="7"/>
    <n v="36773.69"/>
    <n v="4"/>
    <n v="5"/>
    <n v="5"/>
    <n v="14"/>
    <x v="2"/>
  </r>
  <r>
    <s v="CUST0171"/>
    <n v="63"/>
    <n v="4"/>
    <n v="12512.919999999998"/>
    <n v="4"/>
    <n v="3"/>
    <n v="2"/>
    <n v="9"/>
    <x v="1"/>
  </r>
  <r>
    <s v="CUST0172"/>
    <n v="80"/>
    <n v="4"/>
    <n v="32944.449999999997"/>
    <n v="4"/>
    <n v="3"/>
    <n v="5"/>
    <n v="12"/>
    <x v="0"/>
  </r>
  <r>
    <s v="CUST0173"/>
    <n v="363"/>
    <n v="3"/>
    <n v="12513.98"/>
    <n v="1"/>
    <n v="3"/>
    <n v="2"/>
    <n v="6"/>
    <x v="4"/>
  </r>
  <r>
    <s v="CUST0174"/>
    <n v="170"/>
    <n v="6"/>
    <n v="18861.68"/>
    <n v="3"/>
    <n v="5"/>
    <n v="3"/>
    <n v="11"/>
    <x v="0"/>
  </r>
  <r>
    <s v="CUST0175"/>
    <n v="66"/>
    <n v="3"/>
    <n v="19458.02"/>
    <n v="4"/>
    <n v="3"/>
    <n v="3"/>
    <n v="10"/>
    <x v="0"/>
  </r>
  <r>
    <s v="CUST0176"/>
    <n v="67"/>
    <n v="3"/>
    <n v="16225.439999999999"/>
    <n v="4"/>
    <n v="3"/>
    <n v="2"/>
    <n v="9"/>
    <x v="1"/>
  </r>
  <r>
    <s v="CUST0177"/>
    <n v="385"/>
    <n v="2"/>
    <n v="10288.290000000001"/>
    <n v="1"/>
    <n v="2"/>
    <n v="1"/>
    <n v="4"/>
    <x v="4"/>
  </r>
  <r>
    <s v="CUST0178"/>
    <n v="240"/>
    <n v="6"/>
    <n v="27413.59"/>
    <n v="2"/>
    <n v="5"/>
    <n v="4"/>
    <n v="11"/>
    <x v="0"/>
  </r>
  <r>
    <s v="CUST0179"/>
    <n v="123"/>
    <n v="4"/>
    <n v="21966.11"/>
    <n v="3"/>
    <n v="3"/>
    <n v="3"/>
    <n v="9"/>
    <x v="1"/>
  </r>
  <r>
    <s v="CUST0180"/>
    <n v="45"/>
    <n v="3"/>
    <n v="15634.03"/>
    <n v="4"/>
    <n v="3"/>
    <n v="2"/>
    <n v="9"/>
    <x v="1"/>
  </r>
  <r>
    <s v="CUST0181"/>
    <n v="78"/>
    <n v="2"/>
    <n v="971.56999999999994"/>
    <n v="4"/>
    <n v="2"/>
    <n v="1"/>
    <n v="7"/>
    <x v="1"/>
  </r>
  <r>
    <s v="CUST0182"/>
    <n v="315"/>
    <n v="4"/>
    <n v="26500.65"/>
    <n v="1"/>
    <n v="3"/>
    <n v="4"/>
    <n v="8"/>
    <x v="1"/>
  </r>
  <r>
    <s v="CUST0183"/>
    <n v="336"/>
    <n v="5"/>
    <n v="28241.430000000004"/>
    <n v="1"/>
    <n v="4"/>
    <n v="4"/>
    <n v="9"/>
    <x v="1"/>
  </r>
  <r>
    <s v="CUST0184"/>
    <n v="564"/>
    <n v="3"/>
    <n v="14941.939999999999"/>
    <n v="1"/>
    <n v="3"/>
    <n v="2"/>
    <n v="6"/>
    <x v="4"/>
  </r>
  <r>
    <s v="CUST0185"/>
    <n v="60"/>
    <n v="4"/>
    <n v="20517.47"/>
    <n v="4"/>
    <n v="3"/>
    <n v="3"/>
    <n v="10"/>
    <x v="0"/>
  </r>
  <r>
    <s v="CUST0186"/>
    <n v="485"/>
    <n v="2"/>
    <n v="17060.3"/>
    <n v="1"/>
    <n v="2"/>
    <n v="3"/>
    <n v="6"/>
    <x v="4"/>
  </r>
  <r>
    <s v="CUST0187"/>
    <n v="132"/>
    <n v="4"/>
    <n v="29085.84"/>
    <n v="3"/>
    <n v="3"/>
    <n v="5"/>
    <n v="11"/>
    <x v="0"/>
  </r>
  <r>
    <s v="CUST0188"/>
    <n v="136"/>
    <n v="3"/>
    <n v="9103.5099999999984"/>
    <n v="3"/>
    <n v="3"/>
    <n v="1"/>
    <n v="7"/>
    <x v="1"/>
  </r>
  <r>
    <s v="CUST0189"/>
    <n v="24"/>
    <n v="2"/>
    <n v="10391.31"/>
    <n v="5"/>
    <n v="2"/>
    <n v="2"/>
    <n v="9"/>
    <x v="1"/>
  </r>
  <r>
    <s v="CUST0190"/>
    <n v="121"/>
    <n v="2"/>
    <n v="9569.380000000001"/>
    <n v="3"/>
    <n v="2"/>
    <n v="1"/>
    <n v="6"/>
    <x v="4"/>
  </r>
  <r>
    <s v="CUST0191"/>
    <n v="35"/>
    <n v="5"/>
    <n v="18732.86"/>
    <n v="5"/>
    <n v="4"/>
    <n v="3"/>
    <n v="12"/>
    <x v="0"/>
  </r>
  <r>
    <s v="CUST0192"/>
    <n v="237"/>
    <n v="2"/>
    <n v="8984.99"/>
    <n v="2"/>
    <n v="2"/>
    <n v="1"/>
    <n v="5"/>
    <x v="4"/>
  </r>
  <r>
    <s v="CUST0193"/>
    <n v="442"/>
    <n v="4"/>
    <n v="18204.849999999999"/>
    <n v="1"/>
    <n v="3"/>
    <n v="3"/>
    <n v="7"/>
    <x v="1"/>
  </r>
  <r>
    <s v="CUST0194"/>
    <n v="231"/>
    <n v="4"/>
    <n v="24647.919999999998"/>
    <n v="2"/>
    <n v="3"/>
    <n v="4"/>
    <n v="9"/>
    <x v="1"/>
  </r>
  <r>
    <s v="CUST0195"/>
    <n v="276"/>
    <n v="7"/>
    <n v="31583.739999999998"/>
    <n v="2"/>
    <n v="5"/>
    <n v="5"/>
    <n v="12"/>
    <x v="0"/>
  </r>
  <r>
    <s v="CUST0196"/>
    <n v="214"/>
    <n v="5"/>
    <n v="16682.669999999998"/>
    <n v="2"/>
    <n v="4"/>
    <n v="3"/>
    <n v="9"/>
    <x v="1"/>
  </r>
  <r>
    <s v="CUST0197"/>
    <n v="219"/>
    <n v="2"/>
    <n v="9528.1"/>
    <n v="2"/>
    <n v="2"/>
    <n v="1"/>
    <n v="5"/>
    <x v="4"/>
  </r>
  <r>
    <s v="CUST0198"/>
    <n v="40"/>
    <n v="3"/>
    <n v="18686.54"/>
    <n v="5"/>
    <n v="3"/>
    <n v="3"/>
    <n v="11"/>
    <x v="0"/>
  </r>
  <r>
    <s v="CUST0199"/>
    <n v="116"/>
    <n v="2"/>
    <n v="5443.6399999999994"/>
    <n v="3"/>
    <n v="2"/>
    <n v="1"/>
    <n v="6"/>
    <x v="4"/>
  </r>
  <r>
    <s v="CUST0200"/>
    <n v="223"/>
    <n v="3"/>
    <n v="5463.96"/>
    <n v="2"/>
    <n v="3"/>
    <n v="1"/>
    <n v="6"/>
    <x v="4"/>
  </r>
  <r>
    <s v="CUST0201"/>
    <n v="235"/>
    <n v="6"/>
    <n v="32319.559999999998"/>
    <n v="2"/>
    <n v="5"/>
    <n v="5"/>
    <n v="12"/>
    <x v="0"/>
  </r>
  <r>
    <s v="CUST0202"/>
    <n v="88"/>
    <n v="6"/>
    <n v="22246.39"/>
    <n v="4"/>
    <n v="5"/>
    <n v="4"/>
    <n v="13"/>
    <x v="2"/>
  </r>
  <r>
    <s v="CUST0203"/>
    <n v="26"/>
    <n v="5"/>
    <n v="21472.47"/>
    <n v="5"/>
    <n v="4"/>
    <n v="3"/>
    <n v="12"/>
    <x v="0"/>
  </r>
  <r>
    <s v="CUST0204"/>
    <n v="288"/>
    <n v="6"/>
    <n v="23239.89"/>
    <n v="1"/>
    <n v="5"/>
    <n v="4"/>
    <n v="10"/>
    <x v="0"/>
  </r>
  <r>
    <s v="CUST0205"/>
    <n v="236"/>
    <n v="6"/>
    <n v="43349.399999999994"/>
    <n v="2"/>
    <n v="5"/>
    <n v="5"/>
    <n v="12"/>
    <x v="0"/>
  </r>
  <r>
    <s v="CUST0206"/>
    <n v="232"/>
    <n v="6"/>
    <n v="25096"/>
    <n v="2"/>
    <n v="5"/>
    <n v="4"/>
    <n v="11"/>
    <x v="0"/>
  </r>
  <r>
    <s v="CUST0207"/>
    <n v="224"/>
    <n v="5"/>
    <n v="14703.710000000001"/>
    <n v="2"/>
    <n v="4"/>
    <n v="2"/>
    <n v="8"/>
    <x v="1"/>
  </r>
  <r>
    <s v="CUST0208"/>
    <n v="30"/>
    <n v="5"/>
    <n v="23487.729999999996"/>
    <n v="5"/>
    <n v="4"/>
    <n v="4"/>
    <n v="13"/>
    <x v="2"/>
  </r>
  <r>
    <s v="CUST0209"/>
    <n v="20"/>
    <n v="5"/>
    <n v="23269.889999999996"/>
    <n v="5"/>
    <n v="4"/>
    <n v="4"/>
    <n v="13"/>
    <x v="2"/>
  </r>
  <r>
    <s v="CUST0210"/>
    <n v="118"/>
    <n v="4"/>
    <n v="16810.82"/>
    <n v="3"/>
    <n v="3"/>
    <n v="3"/>
    <n v="9"/>
    <x v="1"/>
  </r>
  <r>
    <s v="CUST0211"/>
    <n v="329"/>
    <n v="1"/>
    <n v="1236.68"/>
    <n v="1"/>
    <n v="1"/>
    <n v="1"/>
    <n v="3"/>
    <x v="3"/>
  </r>
  <r>
    <s v="CUST0212"/>
    <n v="13"/>
    <n v="5"/>
    <n v="27429.9"/>
    <n v="5"/>
    <n v="4"/>
    <n v="4"/>
    <n v="13"/>
    <x v="2"/>
  </r>
  <r>
    <s v="CUST0213"/>
    <n v="265"/>
    <n v="4"/>
    <n v="14383.25"/>
    <n v="2"/>
    <n v="3"/>
    <n v="2"/>
    <n v="7"/>
    <x v="1"/>
  </r>
  <r>
    <s v="CUST0214"/>
    <n v="95"/>
    <n v="4"/>
    <n v="19284.150000000001"/>
    <n v="4"/>
    <n v="3"/>
    <n v="3"/>
    <n v="10"/>
    <x v="0"/>
  </r>
  <r>
    <s v="CUST0215"/>
    <n v="297"/>
    <n v="2"/>
    <n v="9920.15"/>
    <n v="1"/>
    <n v="2"/>
    <n v="1"/>
    <n v="4"/>
    <x v="4"/>
  </r>
  <r>
    <s v="CUST0216"/>
    <n v="124"/>
    <n v="4"/>
    <n v="18902.64"/>
    <n v="3"/>
    <n v="3"/>
    <n v="3"/>
    <n v="9"/>
    <x v="1"/>
  </r>
  <r>
    <s v="CUST0217"/>
    <n v="33"/>
    <n v="5"/>
    <n v="25155.53"/>
    <n v="5"/>
    <n v="4"/>
    <n v="4"/>
    <n v="13"/>
    <x v="2"/>
  </r>
  <r>
    <s v="CUST0218"/>
    <n v="134"/>
    <n v="5"/>
    <n v="20991.98"/>
    <n v="3"/>
    <n v="4"/>
    <n v="3"/>
    <n v="10"/>
    <x v="0"/>
  </r>
  <r>
    <s v="CUST0219"/>
    <n v="374"/>
    <n v="2"/>
    <n v="10347.630000000001"/>
    <n v="1"/>
    <n v="2"/>
    <n v="1"/>
    <n v="4"/>
    <x v="4"/>
  </r>
  <r>
    <s v="CUST0220"/>
    <n v="58"/>
    <n v="3"/>
    <n v="16858.75"/>
    <n v="4"/>
    <n v="3"/>
    <n v="3"/>
    <n v="10"/>
    <x v="0"/>
  </r>
  <r>
    <s v="CUST0221"/>
    <n v="150"/>
    <n v="3"/>
    <n v="18516.41"/>
    <n v="3"/>
    <n v="3"/>
    <n v="3"/>
    <n v="9"/>
    <x v="1"/>
  </r>
  <r>
    <s v="CUST0222"/>
    <n v="24"/>
    <n v="7"/>
    <n v="48421.689999999995"/>
    <n v="5"/>
    <n v="5"/>
    <n v="5"/>
    <n v="15"/>
    <x v="2"/>
  </r>
  <r>
    <s v="CUST0223"/>
    <n v="144"/>
    <n v="5"/>
    <n v="22554.36"/>
    <n v="3"/>
    <n v="4"/>
    <n v="4"/>
    <n v="11"/>
    <x v="0"/>
  </r>
  <r>
    <s v="CUST0224"/>
    <n v="25"/>
    <n v="3"/>
    <n v="14692.509999999998"/>
    <n v="5"/>
    <n v="3"/>
    <n v="2"/>
    <n v="10"/>
    <x v="0"/>
  </r>
  <r>
    <s v="CUST0225"/>
    <n v="598"/>
    <n v="3"/>
    <n v="23398.639999999999"/>
    <n v="1"/>
    <n v="3"/>
    <n v="4"/>
    <n v="8"/>
    <x v="1"/>
  </r>
  <r>
    <s v="CUST0226"/>
    <n v="46"/>
    <n v="5"/>
    <n v="16061.640000000001"/>
    <n v="4"/>
    <n v="4"/>
    <n v="2"/>
    <n v="10"/>
    <x v="0"/>
  </r>
  <r>
    <s v="CUST0227"/>
    <n v="113"/>
    <n v="5"/>
    <n v="16810.55"/>
    <n v="3"/>
    <n v="4"/>
    <n v="3"/>
    <n v="10"/>
    <x v="0"/>
  </r>
  <r>
    <s v="CUST0228"/>
    <n v="528"/>
    <n v="2"/>
    <n v="15648.539999999999"/>
    <n v="1"/>
    <n v="2"/>
    <n v="2"/>
    <n v="5"/>
    <x v="4"/>
  </r>
  <r>
    <s v="CUST0229"/>
    <n v="59"/>
    <n v="6"/>
    <n v="28977.22"/>
    <n v="4"/>
    <n v="5"/>
    <n v="5"/>
    <n v="14"/>
    <x v="2"/>
  </r>
  <r>
    <s v="CUST0230"/>
    <n v="24"/>
    <n v="6"/>
    <n v="26388.960000000003"/>
    <n v="5"/>
    <n v="5"/>
    <n v="4"/>
    <n v="14"/>
    <x v="2"/>
  </r>
  <r>
    <s v="CUST0231"/>
    <n v="76"/>
    <n v="4"/>
    <n v="25201.780000000002"/>
    <n v="4"/>
    <n v="3"/>
    <n v="4"/>
    <n v="11"/>
    <x v="0"/>
  </r>
  <r>
    <s v="CUST0232"/>
    <n v="336"/>
    <n v="1"/>
    <n v="8482.31"/>
    <n v="1"/>
    <n v="1"/>
    <n v="1"/>
    <n v="3"/>
    <x v="3"/>
  </r>
  <r>
    <s v="CUST0233"/>
    <n v="16"/>
    <n v="3"/>
    <n v="18351.59"/>
    <n v="5"/>
    <n v="3"/>
    <n v="3"/>
    <n v="11"/>
    <x v="0"/>
  </r>
  <r>
    <s v="CUST0234"/>
    <n v="138"/>
    <n v="5"/>
    <n v="29088.559999999998"/>
    <n v="3"/>
    <n v="4"/>
    <n v="5"/>
    <n v="12"/>
    <x v="0"/>
  </r>
  <r>
    <s v="CUST0235"/>
    <n v="138"/>
    <n v="2"/>
    <n v="10438.509999999998"/>
    <n v="3"/>
    <n v="2"/>
    <n v="2"/>
    <n v="7"/>
    <x v="1"/>
  </r>
  <r>
    <s v="CUST0236"/>
    <n v="16"/>
    <n v="7"/>
    <n v="18588.32"/>
    <n v="5"/>
    <n v="5"/>
    <n v="3"/>
    <n v="13"/>
    <x v="2"/>
  </r>
  <r>
    <s v="CUST0237"/>
    <n v="33"/>
    <n v="4"/>
    <n v="11369.619999999999"/>
    <n v="5"/>
    <n v="3"/>
    <n v="2"/>
    <n v="10"/>
    <x v="0"/>
  </r>
  <r>
    <s v="CUST0238"/>
    <n v="172"/>
    <n v="4"/>
    <n v="23850.1"/>
    <n v="3"/>
    <n v="3"/>
    <n v="4"/>
    <n v="10"/>
    <x v="0"/>
  </r>
  <r>
    <s v="CUST0239"/>
    <n v="40"/>
    <n v="4"/>
    <n v="20577.250000000004"/>
    <n v="5"/>
    <n v="3"/>
    <n v="3"/>
    <n v="11"/>
    <x v="0"/>
  </r>
  <r>
    <s v="CUST0240"/>
    <n v="32"/>
    <n v="5"/>
    <n v="23252.33"/>
    <n v="5"/>
    <n v="4"/>
    <n v="4"/>
    <n v="13"/>
    <x v="2"/>
  </r>
  <r>
    <s v="CUST0241"/>
    <n v="170"/>
    <n v="6"/>
    <n v="24303.239999999998"/>
    <n v="3"/>
    <n v="5"/>
    <n v="4"/>
    <n v="12"/>
    <x v="0"/>
  </r>
  <r>
    <s v="CUST0242"/>
    <n v="43"/>
    <n v="5"/>
    <n v="21986.25"/>
    <n v="4"/>
    <n v="4"/>
    <n v="3"/>
    <n v="11"/>
    <x v="0"/>
  </r>
  <r>
    <s v="CUST0243"/>
    <n v="401"/>
    <n v="6"/>
    <n v="32053.74"/>
    <n v="1"/>
    <n v="5"/>
    <n v="5"/>
    <n v="11"/>
    <x v="0"/>
  </r>
  <r>
    <s v="CUST0244"/>
    <n v="517"/>
    <n v="2"/>
    <n v="2314.02"/>
    <n v="1"/>
    <n v="2"/>
    <n v="1"/>
    <n v="4"/>
    <x v="4"/>
  </r>
  <r>
    <s v="CUST0245"/>
    <n v="223"/>
    <n v="5"/>
    <n v="25924.18"/>
    <n v="2"/>
    <n v="4"/>
    <n v="4"/>
    <n v="10"/>
    <x v="0"/>
  </r>
  <r>
    <s v="CUST0246"/>
    <n v="43"/>
    <n v="3"/>
    <n v="13203.72"/>
    <n v="4"/>
    <n v="3"/>
    <n v="2"/>
    <n v="9"/>
    <x v="1"/>
  </r>
  <r>
    <s v="CUST0247"/>
    <n v="314"/>
    <n v="2"/>
    <n v="10665.619999999999"/>
    <n v="1"/>
    <n v="2"/>
    <n v="2"/>
    <n v="5"/>
    <x v="4"/>
  </r>
  <r>
    <s v="CUST0248"/>
    <n v="154"/>
    <n v="2"/>
    <n v="9961.99"/>
    <n v="3"/>
    <n v="2"/>
    <n v="1"/>
    <n v="6"/>
    <x v="4"/>
  </r>
  <r>
    <s v="CUST0249"/>
    <n v="14"/>
    <n v="3"/>
    <n v="12925"/>
    <n v="5"/>
    <n v="3"/>
    <n v="2"/>
    <n v="10"/>
    <x v="0"/>
  </r>
  <r>
    <s v="CUST0250"/>
    <n v="11"/>
    <n v="5"/>
    <n v="13805.3"/>
    <n v="5"/>
    <n v="4"/>
    <n v="2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B36F7-1381-4F3E-A34E-7EEF6E0D5E55}" name="PivotTable2" cacheId="5" applyNumberFormats="0" applyBorderFormats="0" applyFontFormats="0" applyPatternFormats="0" applyAlignmentFormats="0" applyWidthHeightFormats="1" dataCaption="Values" grandTotalCaption="Total customers" updatedVersion="8" minRefreshableVersion="3" useAutoFormatting="1" itemPrintTitles="1" createdVersion="8" indent="0" outline="1" outlineData="1" multipleFieldFilters="0" rowHeaderCaption="RFM Category">
  <location ref="A3:B9" firstHeaderRow="1" firstDataRow="1" firstDataCol="1"/>
  <pivotFields count="9">
    <pivotField dataField="1" showAll="0"/>
    <pivotField numFmtId="1" showAll="0"/>
    <pivotField numFmtId="1" showAll="0"/>
    <pivotField numFmtId="2" showAll="0"/>
    <pivotField showAll="0"/>
    <pivotField showAll="0"/>
    <pivotField showAll="0"/>
    <pivotField showAll="0"/>
    <pivotField axis="axisRow" showAll="0" nonAutoSortDefault="1">
      <items count="6">
        <item x="2"/>
        <item x="0"/>
        <item x="1"/>
        <item x="4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customers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A29A7-8B5B-4ECF-9B37-C4AAB713D9C8}" name="PivotTable3" cacheId="5" applyNumberFormats="0" applyBorderFormats="0" applyFontFormats="0" applyPatternFormats="0" applyAlignmentFormats="0" applyWidthHeightFormats="1" dataCaption="Values" grandTotalCaption="Total customers" updatedVersion="8" minRefreshableVersion="3" useAutoFormatting="1" itemPrintTitles="1" createdVersion="8" indent="0" outline="1" outlineData="1" multipleFieldFilters="0" rowHeaderCaption="RFM Category">
  <location ref="K2:L8" firstHeaderRow="1" firstDataRow="1" firstDataCol="1"/>
  <pivotFields count="9">
    <pivotField dataField="1" showAll="0"/>
    <pivotField numFmtId="1" showAll="0"/>
    <pivotField numFmtId="1" showAll="0"/>
    <pivotField numFmtId="2" showAll="0"/>
    <pivotField showAll="0"/>
    <pivotField showAll="0"/>
    <pivotField showAll="0"/>
    <pivotField showAll="0"/>
    <pivotField axis="axisRow" showAll="0" nonAutoSortDefault="1">
      <items count="6">
        <item x="2"/>
        <item x="0"/>
        <item x="1"/>
        <item x="4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customers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BCC64-8262-4EBD-8D8B-FE869FF204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9" firstHeaderRow="0" firstDataRow="1" firstDataCol="1"/>
  <pivotFields count="5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246">
        <item x="140"/>
        <item x="46"/>
        <item x="102"/>
        <item x="72"/>
        <item x="215"/>
        <item x="28"/>
        <item x="57"/>
        <item x="77"/>
        <item x="80"/>
        <item x="19"/>
        <item x="44"/>
        <item x="233"/>
        <item x="151"/>
        <item x="145"/>
        <item x="188"/>
        <item x="96"/>
        <item x="118"/>
        <item x="114"/>
        <item x="237"/>
        <item x="226"/>
        <item x="190"/>
        <item x="208"/>
        <item x="23"/>
        <item x="236"/>
        <item x="201"/>
        <item x="157"/>
        <item x="137"/>
        <item x="92"/>
        <item x="84"/>
        <item x="175"/>
        <item x="172"/>
        <item x="119"/>
        <item x="244"/>
        <item x="10"/>
        <item x="181"/>
        <item x="9"/>
        <item x="25"/>
        <item x="163"/>
        <item x="126"/>
        <item x="205"/>
        <item x="69"/>
        <item x="159"/>
        <item x="128"/>
        <item x="131"/>
        <item x="76"/>
        <item x="179"/>
        <item x="123"/>
        <item x="53"/>
        <item x="13"/>
        <item x="16"/>
        <item x="184"/>
        <item x="86"/>
        <item x="107"/>
        <item x="232"/>
        <item x="167"/>
        <item x="138"/>
        <item x="146"/>
        <item x="176"/>
        <item x="195"/>
        <item x="218"/>
        <item x="240"/>
        <item x="33"/>
        <item x="105"/>
        <item x="156"/>
        <item x="147"/>
        <item x="12"/>
        <item x="75"/>
        <item x="124"/>
        <item x="198"/>
        <item x="51"/>
        <item x="110"/>
        <item x="120"/>
        <item x="101"/>
        <item x="213"/>
        <item x="62"/>
        <item x="214"/>
        <item x="85"/>
        <item x="136"/>
        <item x="61"/>
        <item x="40"/>
        <item x="63"/>
        <item x="153"/>
        <item x="243"/>
        <item x="202"/>
        <item x="225"/>
        <item x="100"/>
        <item x="108"/>
        <item x="180"/>
        <item x="194"/>
        <item x="17"/>
        <item x="24"/>
        <item x="241"/>
        <item x="82"/>
        <item x="234"/>
        <item x="223"/>
        <item x="74"/>
        <item x="11"/>
        <item x="115"/>
        <item x="78"/>
        <item x="50"/>
        <item x="227"/>
        <item x="59"/>
        <item x="135"/>
        <item x="229"/>
        <item x="186"/>
        <item x="4"/>
        <item x="197"/>
        <item x="170"/>
        <item x="88"/>
        <item x="182"/>
        <item x="95"/>
        <item x="31"/>
        <item x="116"/>
        <item x="149"/>
        <item x="18"/>
        <item x="200"/>
        <item x="47"/>
        <item x="220"/>
        <item x="43"/>
        <item x="56"/>
        <item x="68"/>
        <item x="165"/>
        <item x="164"/>
        <item x="169"/>
        <item x="177"/>
        <item x="55"/>
        <item x="230"/>
        <item x="189"/>
        <item x="99"/>
        <item x="166"/>
        <item x="148"/>
        <item x="21"/>
        <item x="224"/>
        <item x="3"/>
        <item x="242"/>
        <item x="216"/>
        <item x="150"/>
        <item x="112"/>
        <item x="183"/>
        <item x="36"/>
        <item x="45"/>
        <item x="39"/>
        <item x="187"/>
        <item x="173"/>
        <item x="70"/>
        <item x="5"/>
        <item x="217"/>
        <item x="155"/>
        <item x="127"/>
        <item x="65"/>
        <item x="154"/>
        <item x="132"/>
        <item x="211"/>
        <item x="162"/>
        <item x="238"/>
        <item x="109"/>
        <item x="191"/>
        <item x="212"/>
        <item x="20"/>
        <item x="192"/>
        <item x="94"/>
        <item x="143"/>
        <item x="60"/>
        <item x="228"/>
        <item x="14"/>
        <item x="103"/>
        <item x="133"/>
        <item x="49"/>
        <item x="144"/>
        <item x="117"/>
        <item x="178"/>
        <item x="222"/>
        <item x="73"/>
        <item x="15"/>
        <item x="142"/>
        <item x="26"/>
        <item x="129"/>
        <item x="91"/>
        <item x="98"/>
        <item x="79"/>
        <item x="203"/>
        <item x="221"/>
        <item x="199"/>
        <item x="193"/>
        <item x="71"/>
        <item x="168"/>
        <item x="206"/>
        <item x="66"/>
        <item x="106"/>
        <item x="174"/>
        <item x="113"/>
        <item x="141"/>
        <item x="196"/>
        <item x="90"/>
        <item x="160"/>
        <item x="81"/>
        <item x="121"/>
        <item x="185"/>
        <item x="8"/>
        <item x="134"/>
        <item x="83"/>
        <item x="32"/>
        <item x="89"/>
        <item x="2"/>
        <item x="27"/>
        <item x="130"/>
        <item x="207"/>
        <item x="231"/>
        <item x="29"/>
        <item x="158"/>
        <item x="22"/>
        <item x="87"/>
        <item x="122"/>
        <item x="64"/>
        <item x="210"/>
        <item x="152"/>
        <item x="30"/>
        <item x="7"/>
        <item x="1"/>
        <item x="0"/>
        <item x="52"/>
        <item x="42"/>
        <item x="204"/>
        <item x="161"/>
        <item x="104"/>
        <item x="34"/>
        <item x="111"/>
        <item x="97"/>
        <item x="6"/>
        <item x="235"/>
        <item x="35"/>
        <item x="58"/>
        <item x="125"/>
        <item x="209"/>
        <item x="67"/>
        <item x="139"/>
        <item x="54"/>
        <item x="41"/>
        <item x="239"/>
        <item x="93"/>
        <item x="37"/>
        <item x="219"/>
        <item x="171"/>
        <item x="38"/>
        <item x="48"/>
        <item t="default"/>
      </items>
    </pivotField>
    <pivotField dataField="1" numFmtId="14" showAll="0"/>
    <pivotField showAll="0"/>
    <pivotField dataField="1" numFmtId="2" showAll="0"/>
  </pivotFields>
  <rowFields count="1">
    <field x="1"/>
  </rowFields>
  <rowItems count="2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_date" fld="2" subtotal="max" baseField="1" baseItem="0" numFmtId="14"/>
    <dataField name="Count of order_id" fld="0" subtotal="count" baseField="0" baseItem="0"/>
    <dataField name="Sum of order_value" fld="4" baseField="0" baseItem="0" numFmtId="2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89D6E7-392B-43AB-AA06-685709EC4C05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customer_id" tableColumnId="2"/>
      <queryTableField id="3" name="order_date" tableColumnId="3"/>
      <queryTableField id="4" name="product_type" tableColumnId="4"/>
      <queryTableField id="5" name="order_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7BE66-94D6-4C5E-9FE5-47BB6798C21E}" name="tile_store_orders" displayName="tile_store_orders" ref="A1:E1001" tableType="queryTable" totalsRowShown="0">
  <autoFilter ref="A1:E1001" xr:uid="{3C57BE66-94D6-4C5E-9FE5-47BB6798C21E}"/>
  <tableColumns count="5">
    <tableColumn id="1" xr3:uid="{BD9143F6-3ADE-46E1-952F-652ED8327B2E}" uniqueName="1" name="order_id" queryTableFieldId="1" dataDxfId="9"/>
    <tableColumn id="2" xr3:uid="{5EB1687F-E28F-4E51-AA47-A43F21D8D571}" uniqueName="2" name="customer_id" queryTableFieldId="2" dataDxfId="8"/>
    <tableColumn id="3" xr3:uid="{45DF3980-FFE4-4D34-A4EC-54AE33494A95}" uniqueName="3" name="order_date" queryTableFieldId="3" dataDxfId="7"/>
    <tableColumn id="4" xr3:uid="{BC07E6B4-9A32-45E2-AE77-85E28631EB7B}" uniqueName="4" name="product_type" queryTableFieldId="4" dataDxfId="6"/>
    <tableColumn id="5" xr3:uid="{2C421309-7568-41C6-8D97-8093878E60B1}" uniqueName="5" name="order_value" queryTableFieldId="5" dataDxfId="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09B-0276-453F-BB86-072781C3B263}">
  <sheetPr>
    <tabColor theme="7" tint="0.39997558519241921"/>
  </sheetPr>
  <dimension ref="A3:C10"/>
  <sheetViews>
    <sheetView workbookViewId="0">
      <selection activeCell="B9" sqref="A3:B9"/>
    </sheetView>
  </sheetViews>
  <sheetFormatPr defaultRowHeight="15" x14ac:dyDescent="0.25"/>
  <cols>
    <col min="1" max="1" width="24.42578125" bestFit="1" customWidth="1"/>
    <col min="2" max="2" width="20.7109375" bestFit="1" customWidth="1"/>
    <col min="3" max="3" width="33.5703125" customWidth="1"/>
  </cols>
  <sheetData>
    <row r="3" spans="1:3" x14ac:dyDescent="0.25">
      <c r="A3" s="3" t="s">
        <v>1277</v>
      </c>
      <c r="B3" t="s">
        <v>1278</v>
      </c>
    </row>
    <row r="4" spans="1:3" x14ac:dyDescent="0.25">
      <c r="A4" s="4" t="s">
        <v>1273</v>
      </c>
      <c r="B4" s="7">
        <v>43</v>
      </c>
    </row>
    <row r="5" spans="1:3" x14ac:dyDescent="0.25">
      <c r="A5" s="4" t="s">
        <v>1274</v>
      </c>
      <c r="B5" s="7">
        <v>78</v>
      </c>
    </row>
    <row r="6" spans="1:3" x14ac:dyDescent="0.25">
      <c r="A6" s="4" t="s">
        <v>1276</v>
      </c>
      <c r="B6" s="7">
        <v>73</v>
      </c>
    </row>
    <row r="7" spans="1:3" x14ac:dyDescent="0.25">
      <c r="A7" s="4" t="s">
        <v>1275</v>
      </c>
      <c r="B7" s="7">
        <v>43</v>
      </c>
    </row>
    <row r="8" spans="1:3" x14ac:dyDescent="0.25">
      <c r="A8" s="4" t="s">
        <v>1272</v>
      </c>
      <c r="B8" s="7">
        <v>8</v>
      </c>
    </row>
    <row r="9" spans="1:3" x14ac:dyDescent="0.25">
      <c r="A9" s="4" t="s">
        <v>1279</v>
      </c>
      <c r="B9" s="7">
        <v>245</v>
      </c>
    </row>
    <row r="10" spans="1:3" x14ac:dyDescent="0.25">
      <c r="A10" s="6"/>
      <c r="C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E607-5A23-458D-A92E-158A5B871421}">
  <sheetPr>
    <tabColor theme="7" tint="0.39997558519241921"/>
  </sheetPr>
  <dimension ref="A1:L246"/>
  <sheetViews>
    <sheetView tabSelected="1" workbookViewId="0">
      <selection activeCell="S35" sqref="S35"/>
    </sheetView>
  </sheetViews>
  <sheetFormatPr defaultRowHeight="15" x14ac:dyDescent="0.25"/>
  <cols>
    <col min="1" max="1" width="12.42578125" bestFit="1" customWidth="1"/>
    <col min="2" max="2" width="8.5703125" bestFit="1" customWidth="1"/>
    <col min="3" max="3" width="10.42578125" bestFit="1" customWidth="1"/>
    <col min="4" max="4" width="10.5703125" bestFit="1" customWidth="1"/>
    <col min="5" max="5" width="17.42578125" bestFit="1" customWidth="1"/>
    <col min="6" max="7" width="19.28515625" bestFit="1" customWidth="1"/>
    <col min="8" max="8" width="10.7109375" bestFit="1" customWidth="1"/>
    <col min="9" max="9" width="24.42578125" bestFit="1" customWidth="1"/>
    <col min="11" max="11" width="24.42578125" bestFit="1" customWidth="1"/>
    <col min="12" max="12" width="20.42578125" bestFit="1" customWidth="1"/>
  </cols>
  <sheetData>
    <row r="1" spans="1:12" x14ac:dyDescent="0.25">
      <c r="A1" t="s">
        <v>1266</v>
      </c>
      <c r="B1" t="s">
        <v>1263</v>
      </c>
      <c r="C1" t="s">
        <v>1264</v>
      </c>
      <c r="D1" t="s">
        <v>1265</v>
      </c>
      <c r="E1" t="s">
        <v>1268</v>
      </c>
      <c r="F1" t="s">
        <v>1269</v>
      </c>
      <c r="G1" t="s">
        <v>1270</v>
      </c>
      <c r="H1" t="s">
        <v>1267</v>
      </c>
      <c r="I1" t="s">
        <v>1271</v>
      </c>
    </row>
    <row r="2" spans="1:12" x14ac:dyDescent="0.25">
      <c r="A2" t="s">
        <v>357</v>
      </c>
      <c r="B2" s="5">
        <v>261</v>
      </c>
      <c r="C2" s="5">
        <v>5</v>
      </c>
      <c r="D2" s="2">
        <v>25658.080000000002</v>
      </c>
      <c r="E2" cm="1">
        <f t="array" ref="E2">_xlfn.IFS(
B2&lt;=_xlfn.PERCENTILE.INC($B$2:$B$246,0.2),5,
B2&lt;=_xlfn.PERCENTILE.INC($B$2:$B$246,0.4),4,
B2&lt;=_xlfn.PERCENTILE.INC($B$2:$B$246,0.6),3,
B2&lt;=_xlfn.PERCENTILE.INC($B$2:$B$246,0.8),2,
TRUE,1
)</f>
        <v>2</v>
      </c>
      <c r="F2" cm="1">
        <f t="array" ref="F2">_xlfn.IFS(
C2&gt;=_xlfn.PERCENTILE.INC($C$2:$C$246,0.8),5,
C2&gt;=_xlfn.PERCENTILE.INC($C$2:$C$246,0.6),4,
C2&gt;=_xlfn.PERCENTILE.INC($C$2:$C$246,0.4),3,
C2&gt;=_xlfn.PERCENTILE.INC($C$2:$C$246,0.2),2,
TRUE,1
)</f>
        <v>4</v>
      </c>
      <c r="G2" cm="1">
        <f t="array" ref="G2">_xlfn.IFS(
D2&gt;=_xlfn.PERCENTILE.INC($D$2:$D$246,0.8),5,
D2&gt;=_xlfn.PERCENTILE.INC($D$2:$D$246,0.6),4,
D2&gt;=_xlfn.PERCENTILE.INC($D$2:$D$246,0.4),3,
D2&gt;=_xlfn.PERCENTILE.INC($D$2:$D$246,0.2),2,
TRUE,1
)</f>
        <v>4</v>
      </c>
      <c r="H2">
        <f>E2+F2+G2</f>
        <v>10</v>
      </c>
      <c r="I2" t="str" cm="1">
        <f t="array" ref="I2">_xlfn.IFS(H2&gt;=13,"Best Customers",H2&gt;=10,"Loyal Customers",H2&gt;=7,"Potential Loyal Customers",H2&gt;=4,"Need Attention",TRUE,"At Risk")</f>
        <v>Loyal Customers</v>
      </c>
      <c r="K2" s="3" t="s">
        <v>1277</v>
      </c>
      <c r="L2" t="s">
        <v>1278</v>
      </c>
    </row>
    <row r="3" spans="1:12" x14ac:dyDescent="0.25">
      <c r="A3" t="s">
        <v>108</v>
      </c>
      <c r="B3" s="5">
        <v>284</v>
      </c>
      <c r="C3" s="5">
        <v>3</v>
      </c>
      <c r="D3" s="2">
        <v>18379.100000000002</v>
      </c>
      <c r="E3" cm="1">
        <f t="array" ref="E3">_xlfn.IFS(
B3&lt;=_xlfn.PERCENTILE.INC($B$2:$B$246,0.2),5,
B3&lt;=_xlfn.PERCENTILE.INC($B$2:$B$246,0.4),4,
B3&lt;=_xlfn.PERCENTILE.INC($B$2:$B$246,0.6),3,
B3&lt;=_xlfn.PERCENTILE.INC($B$2:$B$246,0.8),2,
TRUE,1
)</f>
        <v>1</v>
      </c>
      <c r="F3" cm="1">
        <f t="array" ref="F3">_xlfn.IFS(
C3&gt;=_xlfn.PERCENTILE.INC($C$2:$C$246,0.8),5,
C3&gt;=_xlfn.PERCENTILE.INC($C$2:$C$246,0.6),4,
C3&gt;=_xlfn.PERCENTILE.INC($C$2:$C$246,0.4),3,
C3&gt;=_xlfn.PERCENTILE.INC($C$2:$C$246,0.2),2,
TRUE,1
)</f>
        <v>3</v>
      </c>
      <c r="G3" cm="1">
        <f t="array" ref="G3">_xlfn.IFS(
D3&gt;=_xlfn.PERCENTILE.INC($D$2:$D$246,0.8),5,
D3&gt;=_xlfn.PERCENTILE.INC($D$2:$D$246,0.6),4,
D3&gt;=_xlfn.PERCENTILE.INC($D$2:$D$246,0.4),3,
D3&gt;=_xlfn.PERCENTILE.INC($D$2:$D$246,0.2),2,
TRUE,1
)</f>
        <v>3</v>
      </c>
      <c r="H3">
        <f t="shared" ref="H3:H66" si="0">E3+F3+G3</f>
        <v>7</v>
      </c>
      <c r="I3" t="str" cm="1">
        <f t="array" ref="I3">_xlfn.IFS(H3&gt;=13,"Best Customers",H3&gt;=10,"Loyal Customers",H3&gt;=7,"Potential Loyal Customers",H3&gt;=4,"Need Attention",TRUE,"At Risk")</f>
        <v>Potential Loyal Customers</v>
      </c>
      <c r="K3" s="4" t="s">
        <v>1273</v>
      </c>
      <c r="L3" s="7">
        <v>43</v>
      </c>
    </row>
    <row r="4" spans="1:12" x14ac:dyDescent="0.25">
      <c r="A4" t="s">
        <v>240</v>
      </c>
      <c r="B4" s="5">
        <v>221</v>
      </c>
      <c r="C4" s="5">
        <v>3</v>
      </c>
      <c r="D4" s="2">
        <v>15285.53</v>
      </c>
      <c r="E4" cm="1">
        <f t="array" ref="E4">_xlfn.IFS(
B4&lt;=_xlfn.PERCENTILE.INC($B$2:$B$246,0.2),5,
B4&lt;=_xlfn.PERCENTILE.INC($B$2:$B$246,0.4),4,
B4&lt;=_xlfn.PERCENTILE.INC($B$2:$B$246,0.6),3,
B4&lt;=_xlfn.PERCENTILE.INC($B$2:$B$246,0.8),2,
TRUE,1
)</f>
        <v>2</v>
      </c>
      <c r="F4" cm="1">
        <f t="array" ref="F4">_xlfn.IFS(
C4&gt;=_xlfn.PERCENTILE.INC($C$2:$C$246,0.8),5,
C4&gt;=_xlfn.PERCENTILE.INC($C$2:$C$246,0.6),4,
C4&gt;=_xlfn.PERCENTILE.INC($C$2:$C$246,0.4),3,
C4&gt;=_xlfn.PERCENTILE.INC($C$2:$C$246,0.2),2,
TRUE,1
)</f>
        <v>3</v>
      </c>
      <c r="G4" cm="1">
        <f t="array" ref="G4">_xlfn.IFS(
D4&gt;=_xlfn.PERCENTILE.INC($D$2:$D$246,0.8),5,
D4&gt;=_xlfn.PERCENTILE.INC($D$2:$D$246,0.6),4,
D4&gt;=_xlfn.PERCENTILE.INC($D$2:$D$246,0.4),3,
D4&gt;=_xlfn.PERCENTILE.INC($D$2:$D$246,0.2),2,
TRUE,1
)</f>
        <v>2</v>
      </c>
      <c r="H4">
        <f t="shared" si="0"/>
        <v>7</v>
      </c>
      <c r="I4" t="str" cm="1">
        <f t="array" ref="I4">_xlfn.IFS(H4&gt;=13,"Best Customers",H4&gt;=10,"Loyal Customers",H4&gt;=7,"Potential Loyal Customers",H4&gt;=4,"Need Attention",TRUE,"At Risk")</f>
        <v>Potential Loyal Customers</v>
      </c>
      <c r="K4" s="4" t="s">
        <v>1274</v>
      </c>
      <c r="L4" s="7">
        <v>78</v>
      </c>
    </row>
    <row r="5" spans="1:12" x14ac:dyDescent="0.25">
      <c r="A5" t="s">
        <v>164</v>
      </c>
      <c r="B5" s="5">
        <v>72</v>
      </c>
      <c r="C5" s="5">
        <v>3</v>
      </c>
      <c r="D5" s="2">
        <v>16168.149999999998</v>
      </c>
      <c r="E5" cm="1">
        <f t="array" ref="E5">_xlfn.IFS(
B5&lt;=_xlfn.PERCENTILE.INC($B$2:$B$246,0.2),5,
B5&lt;=_xlfn.PERCENTILE.INC($B$2:$B$246,0.4),4,
B5&lt;=_xlfn.PERCENTILE.INC($B$2:$B$246,0.6),3,
B5&lt;=_xlfn.PERCENTILE.INC($B$2:$B$246,0.8),2,
TRUE,1
)</f>
        <v>4</v>
      </c>
      <c r="F5" cm="1">
        <f t="array" ref="F5">_xlfn.IFS(
C5&gt;=_xlfn.PERCENTILE.INC($C$2:$C$246,0.8),5,
C5&gt;=_xlfn.PERCENTILE.INC($C$2:$C$246,0.6),4,
C5&gt;=_xlfn.PERCENTILE.INC($C$2:$C$246,0.4),3,
C5&gt;=_xlfn.PERCENTILE.INC($C$2:$C$246,0.2),2,
TRUE,1
)</f>
        <v>3</v>
      </c>
      <c r="G5" cm="1">
        <f t="array" ref="G5">_xlfn.IFS(
D5&gt;=_xlfn.PERCENTILE.INC($D$2:$D$246,0.8),5,
D5&gt;=_xlfn.PERCENTILE.INC($D$2:$D$246,0.6),4,
D5&gt;=_xlfn.PERCENTILE.INC($D$2:$D$246,0.4),3,
D5&gt;=_xlfn.PERCENTILE.INC($D$2:$D$246,0.2),2,
TRUE,1
)</f>
        <v>2</v>
      </c>
      <c r="H5">
        <f t="shared" si="0"/>
        <v>9</v>
      </c>
      <c r="I5" t="str" cm="1">
        <f t="array" ref="I5">_xlfn.IFS(H5&gt;=13,"Best Customers",H5&gt;=10,"Loyal Customers",H5&gt;=7,"Potential Loyal Customers",H5&gt;=4,"Need Attention",TRUE,"At Risk")</f>
        <v>Potential Loyal Customers</v>
      </c>
      <c r="K5" s="4" t="s">
        <v>1276</v>
      </c>
      <c r="L5" s="7">
        <v>73</v>
      </c>
    </row>
    <row r="6" spans="1:12" x14ac:dyDescent="0.25">
      <c r="A6" t="s">
        <v>760</v>
      </c>
      <c r="B6" s="5">
        <v>151</v>
      </c>
      <c r="C6" s="5">
        <v>3</v>
      </c>
      <c r="D6" s="2">
        <v>10016.08</v>
      </c>
      <c r="E6" cm="1">
        <f t="array" ref="E6">_xlfn.IFS(
B6&lt;=_xlfn.PERCENTILE.INC($B$2:$B$246,0.2),5,
B6&lt;=_xlfn.PERCENTILE.INC($B$2:$B$246,0.4),4,
B6&lt;=_xlfn.PERCENTILE.INC($B$2:$B$246,0.6),3,
B6&lt;=_xlfn.PERCENTILE.INC($B$2:$B$246,0.8),2,
TRUE,1
)</f>
        <v>3</v>
      </c>
      <c r="F6" cm="1">
        <f t="array" ref="F6">_xlfn.IFS(
C6&gt;=_xlfn.PERCENTILE.INC($C$2:$C$246,0.8),5,
C6&gt;=_xlfn.PERCENTILE.INC($C$2:$C$246,0.6),4,
C6&gt;=_xlfn.PERCENTILE.INC($C$2:$C$246,0.4),3,
C6&gt;=_xlfn.PERCENTILE.INC($C$2:$C$246,0.2),2,
TRUE,1
)</f>
        <v>3</v>
      </c>
      <c r="G6" cm="1">
        <f t="array" ref="G6">_xlfn.IFS(
D6&gt;=_xlfn.PERCENTILE.INC($D$2:$D$246,0.8),5,
D6&gt;=_xlfn.PERCENTILE.INC($D$2:$D$246,0.6),4,
D6&gt;=_xlfn.PERCENTILE.INC($D$2:$D$246,0.4),3,
D6&gt;=_xlfn.PERCENTILE.INC($D$2:$D$246,0.2),2,
TRUE,1
)</f>
        <v>1</v>
      </c>
      <c r="H6">
        <f t="shared" si="0"/>
        <v>7</v>
      </c>
      <c r="I6" t="str" cm="1">
        <f t="array" ref="I6">_xlfn.IFS(H6&gt;=13,"Best Customers",H6&gt;=10,"Loyal Customers",H6&gt;=7,"Potential Loyal Customers",H6&gt;=4,"Need Attention",TRUE,"At Risk")</f>
        <v>Potential Loyal Customers</v>
      </c>
      <c r="K6" s="4" t="s">
        <v>1275</v>
      </c>
      <c r="L6" s="7">
        <v>43</v>
      </c>
    </row>
    <row r="7" spans="1:12" x14ac:dyDescent="0.25">
      <c r="A7" t="s">
        <v>70</v>
      </c>
      <c r="B7" s="5">
        <v>227</v>
      </c>
      <c r="C7" s="5">
        <v>5</v>
      </c>
      <c r="D7" s="2">
        <v>15747.199999999999</v>
      </c>
      <c r="E7" cm="1">
        <f t="array" ref="E7">_xlfn.IFS(
B7&lt;=_xlfn.PERCENTILE.INC($B$2:$B$246,0.2),5,
B7&lt;=_xlfn.PERCENTILE.INC($B$2:$B$246,0.4),4,
B7&lt;=_xlfn.PERCENTILE.INC($B$2:$B$246,0.6),3,
B7&lt;=_xlfn.PERCENTILE.INC($B$2:$B$246,0.8),2,
TRUE,1
)</f>
        <v>2</v>
      </c>
      <c r="F7" cm="1">
        <f t="array" ref="F7">_xlfn.IFS(
C7&gt;=_xlfn.PERCENTILE.INC($C$2:$C$246,0.8),5,
C7&gt;=_xlfn.PERCENTILE.INC($C$2:$C$246,0.6),4,
C7&gt;=_xlfn.PERCENTILE.INC($C$2:$C$246,0.4),3,
C7&gt;=_xlfn.PERCENTILE.INC($C$2:$C$246,0.2),2,
TRUE,1
)</f>
        <v>4</v>
      </c>
      <c r="G7" cm="1">
        <f t="array" ref="G7">_xlfn.IFS(
D7&gt;=_xlfn.PERCENTILE.INC($D$2:$D$246,0.8),5,
D7&gt;=_xlfn.PERCENTILE.INC($D$2:$D$246,0.6),4,
D7&gt;=_xlfn.PERCENTILE.INC($D$2:$D$246,0.4),3,
D7&gt;=_xlfn.PERCENTILE.INC($D$2:$D$246,0.2),2,
TRUE,1
)</f>
        <v>2</v>
      </c>
      <c r="H7">
        <f t="shared" si="0"/>
        <v>8</v>
      </c>
      <c r="I7" t="str" cm="1">
        <f t="array" ref="I7">_xlfn.IFS(H7&gt;=13,"Best Customers",H7&gt;=10,"Loyal Customers",H7&gt;=7,"Potential Loyal Customers",H7&gt;=4,"Need Attention",TRUE,"At Risk")</f>
        <v>Potential Loyal Customers</v>
      </c>
      <c r="K7" s="4" t="s">
        <v>1272</v>
      </c>
      <c r="L7" s="7">
        <v>8</v>
      </c>
    </row>
    <row r="8" spans="1:12" x14ac:dyDescent="0.25">
      <c r="A8" t="s">
        <v>131</v>
      </c>
      <c r="B8" s="5">
        <v>16</v>
      </c>
      <c r="C8" s="5">
        <v>7</v>
      </c>
      <c r="D8" s="2">
        <v>35370.679999999993</v>
      </c>
      <c r="E8" cm="1">
        <f t="array" ref="E8">_xlfn.IFS(
B8&lt;=_xlfn.PERCENTILE.INC($B$2:$B$246,0.2),5,
B8&lt;=_xlfn.PERCENTILE.INC($B$2:$B$246,0.4),4,
B8&lt;=_xlfn.PERCENTILE.INC($B$2:$B$246,0.6),3,
B8&lt;=_xlfn.PERCENTILE.INC($B$2:$B$246,0.8),2,
TRUE,1
)</f>
        <v>5</v>
      </c>
      <c r="F8" cm="1">
        <f t="array" ref="F8">_xlfn.IFS(
C8&gt;=_xlfn.PERCENTILE.INC($C$2:$C$246,0.8),5,
C8&gt;=_xlfn.PERCENTILE.INC($C$2:$C$246,0.6),4,
C8&gt;=_xlfn.PERCENTILE.INC($C$2:$C$246,0.4),3,
C8&gt;=_xlfn.PERCENTILE.INC($C$2:$C$246,0.2),2,
TRUE,1
)</f>
        <v>5</v>
      </c>
      <c r="G8" cm="1">
        <f t="array" ref="G8">_xlfn.IFS(
D8&gt;=_xlfn.PERCENTILE.INC($D$2:$D$246,0.8),5,
D8&gt;=_xlfn.PERCENTILE.INC($D$2:$D$246,0.6),4,
D8&gt;=_xlfn.PERCENTILE.INC($D$2:$D$246,0.4),3,
D8&gt;=_xlfn.PERCENTILE.INC($D$2:$D$246,0.2),2,
TRUE,1
)</f>
        <v>5</v>
      </c>
      <c r="H8">
        <f t="shared" si="0"/>
        <v>15</v>
      </c>
      <c r="I8" t="str" cm="1">
        <f t="array" ref="I8">_xlfn.IFS(H8&gt;=13,"Best Customers",H8&gt;=10,"Loyal Customers",H8&gt;=7,"Potential Loyal Customers",H8&gt;=4,"Need Attention",TRUE,"At Risk")</f>
        <v>Best Customers</v>
      </c>
      <c r="K8" s="4" t="s">
        <v>1279</v>
      </c>
      <c r="L8" s="7">
        <v>245</v>
      </c>
    </row>
    <row r="9" spans="1:12" x14ac:dyDescent="0.25">
      <c r="A9" t="s">
        <v>174</v>
      </c>
      <c r="B9" s="5">
        <v>12</v>
      </c>
      <c r="C9" s="5">
        <v>4</v>
      </c>
      <c r="D9" s="2">
        <v>12616.59</v>
      </c>
      <c r="E9" cm="1">
        <f t="array" ref="E9">_xlfn.IFS(
B9&lt;=_xlfn.PERCENTILE.INC($B$2:$B$246,0.2),5,
B9&lt;=_xlfn.PERCENTILE.INC($B$2:$B$246,0.4),4,
B9&lt;=_xlfn.PERCENTILE.INC($B$2:$B$246,0.6),3,
B9&lt;=_xlfn.PERCENTILE.INC($B$2:$B$246,0.8),2,
TRUE,1
)</f>
        <v>5</v>
      </c>
      <c r="F9" cm="1">
        <f t="array" ref="F9">_xlfn.IFS(
C9&gt;=_xlfn.PERCENTILE.INC($C$2:$C$246,0.8),5,
C9&gt;=_xlfn.PERCENTILE.INC($C$2:$C$246,0.6),4,
C9&gt;=_xlfn.PERCENTILE.INC($C$2:$C$246,0.4),3,
C9&gt;=_xlfn.PERCENTILE.INC($C$2:$C$246,0.2),2,
TRUE,1
)</f>
        <v>3</v>
      </c>
      <c r="G9" cm="1">
        <f t="array" ref="G9">_xlfn.IFS(
D9&gt;=_xlfn.PERCENTILE.INC($D$2:$D$246,0.8),5,
D9&gt;=_xlfn.PERCENTILE.INC($D$2:$D$246,0.6),4,
D9&gt;=_xlfn.PERCENTILE.INC($D$2:$D$246,0.4),3,
D9&gt;=_xlfn.PERCENTILE.INC($D$2:$D$246,0.2),2,
TRUE,1
)</f>
        <v>2</v>
      </c>
      <c r="H9">
        <f t="shared" si="0"/>
        <v>10</v>
      </c>
      <c r="I9" t="str" cm="1">
        <f t="array" ref="I9">_xlfn.IFS(H9&gt;=13,"Best Customers",H9&gt;=10,"Loyal Customers",H9&gt;=7,"Potential Loyal Customers",H9&gt;=4,"Need Attention",TRUE,"At Risk")</f>
        <v>Loyal Customers</v>
      </c>
    </row>
    <row r="10" spans="1:12" x14ac:dyDescent="0.25">
      <c r="A10" t="s">
        <v>181</v>
      </c>
      <c r="B10" s="5">
        <v>16</v>
      </c>
      <c r="C10" s="5">
        <v>6</v>
      </c>
      <c r="D10" s="2">
        <v>41965.96</v>
      </c>
      <c r="E10" cm="1">
        <f t="array" ref="E10">_xlfn.IFS(
B10&lt;=_xlfn.PERCENTILE.INC($B$2:$B$246,0.2),5,
B10&lt;=_xlfn.PERCENTILE.INC($B$2:$B$246,0.4),4,
B10&lt;=_xlfn.PERCENTILE.INC($B$2:$B$246,0.6),3,
B10&lt;=_xlfn.PERCENTILE.INC($B$2:$B$246,0.8),2,
TRUE,1
)</f>
        <v>5</v>
      </c>
      <c r="F10" cm="1">
        <f t="array" ref="F10">_xlfn.IFS(
C10&gt;=_xlfn.PERCENTILE.INC($C$2:$C$246,0.8),5,
C10&gt;=_xlfn.PERCENTILE.INC($C$2:$C$246,0.6),4,
C10&gt;=_xlfn.PERCENTILE.INC($C$2:$C$246,0.4),3,
C10&gt;=_xlfn.PERCENTILE.INC($C$2:$C$246,0.2),2,
TRUE,1
)</f>
        <v>5</v>
      </c>
      <c r="G10" cm="1">
        <f t="array" ref="G10">_xlfn.IFS(
D10&gt;=_xlfn.PERCENTILE.INC($D$2:$D$246,0.8),5,
D10&gt;=_xlfn.PERCENTILE.INC($D$2:$D$246,0.6),4,
D10&gt;=_xlfn.PERCENTILE.INC($D$2:$D$246,0.4),3,
D10&gt;=_xlfn.PERCENTILE.INC($D$2:$D$246,0.2),2,
TRUE,1
)</f>
        <v>5</v>
      </c>
      <c r="H10">
        <f t="shared" si="0"/>
        <v>15</v>
      </c>
      <c r="I10" t="str" cm="1">
        <f t="array" ref="I10">_xlfn.IFS(H10&gt;=13,"Best Customers",H10&gt;=10,"Loyal Customers",H10&gt;=7,"Potential Loyal Customers",H10&gt;=4,"Need Attention",TRUE,"At Risk")</f>
        <v>Best Customers</v>
      </c>
    </row>
    <row r="11" spans="1:12" x14ac:dyDescent="0.25">
      <c r="A11" t="s">
        <v>50</v>
      </c>
      <c r="B11" s="5">
        <v>100</v>
      </c>
      <c r="C11" s="5">
        <v>5</v>
      </c>
      <c r="D11" s="2">
        <v>32474.95</v>
      </c>
      <c r="E11" cm="1">
        <f t="array" ref="E11">_xlfn.IFS(
B11&lt;=_xlfn.PERCENTILE.INC($B$2:$B$246,0.2),5,
B11&lt;=_xlfn.PERCENTILE.INC($B$2:$B$246,0.4),4,
B11&lt;=_xlfn.PERCENTILE.INC($B$2:$B$246,0.6),3,
B11&lt;=_xlfn.PERCENTILE.INC($B$2:$B$246,0.8),2,
TRUE,1
)</f>
        <v>3</v>
      </c>
      <c r="F11" cm="1">
        <f t="array" ref="F11">_xlfn.IFS(
C11&gt;=_xlfn.PERCENTILE.INC($C$2:$C$246,0.8),5,
C11&gt;=_xlfn.PERCENTILE.INC($C$2:$C$246,0.6),4,
C11&gt;=_xlfn.PERCENTILE.INC($C$2:$C$246,0.4),3,
C11&gt;=_xlfn.PERCENTILE.INC($C$2:$C$246,0.2),2,
TRUE,1
)</f>
        <v>4</v>
      </c>
      <c r="G11" cm="1">
        <f t="array" ref="G11">_xlfn.IFS(
D11&gt;=_xlfn.PERCENTILE.INC($D$2:$D$246,0.8),5,
D11&gt;=_xlfn.PERCENTILE.INC($D$2:$D$246,0.6),4,
D11&gt;=_xlfn.PERCENTILE.INC($D$2:$D$246,0.4),3,
D11&gt;=_xlfn.PERCENTILE.INC($D$2:$D$246,0.2),2,
TRUE,1
)</f>
        <v>5</v>
      </c>
      <c r="H11">
        <f t="shared" si="0"/>
        <v>12</v>
      </c>
      <c r="I11" t="str" cm="1">
        <f t="array" ref="I11">_xlfn.IFS(H11&gt;=13,"Best Customers",H11&gt;=10,"Loyal Customers",H11&gt;=7,"Potential Loyal Customers",H11&gt;=4,"Need Attention",TRUE,"At Risk")</f>
        <v>Loyal Customers</v>
      </c>
    </row>
    <row r="12" spans="1:12" x14ac:dyDescent="0.25">
      <c r="A12" t="s">
        <v>104</v>
      </c>
      <c r="B12" s="5">
        <v>61</v>
      </c>
      <c r="C12" s="5">
        <v>3</v>
      </c>
      <c r="D12" s="2">
        <v>22318.65</v>
      </c>
      <c r="E12" cm="1">
        <f t="array" ref="E12">_xlfn.IFS(
B12&lt;=_xlfn.PERCENTILE.INC($B$2:$B$246,0.2),5,
B12&lt;=_xlfn.PERCENTILE.INC($B$2:$B$246,0.4),4,
B12&lt;=_xlfn.PERCENTILE.INC($B$2:$B$246,0.6),3,
B12&lt;=_xlfn.PERCENTILE.INC($B$2:$B$246,0.8),2,
TRUE,1
)</f>
        <v>4</v>
      </c>
      <c r="F12" cm="1">
        <f t="array" ref="F12">_xlfn.IFS(
C12&gt;=_xlfn.PERCENTILE.INC($C$2:$C$246,0.8),5,
C12&gt;=_xlfn.PERCENTILE.INC($C$2:$C$246,0.6),4,
C12&gt;=_xlfn.PERCENTILE.INC($C$2:$C$246,0.4),3,
C12&gt;=_xlfn.PERCENTILE.INC($C$2:$C$246,0.2),2,
TRUE,1
)</f>
        <v>3</v>
      </c>
      <c r="G12" cm="1">
        <f t="array" ref="G12">_xlfn.IFS(
D12&gt;=_xlfn.PERCENTILE.INC($D$2:$D$246,0.8),5,
D12&gt;=_xlfn.PERCENTILE.INC($D$2:$D$246,0.6),4,
D12&gt;=_xlfn.PERCENTILE.INC($D$2:$D$246,0.4),3,
D12&gt;=_xlfn.PERCENTILE.INC($D$2:$D$246,0.2),2,
TRUE,1
)</f>
        <v>4</v>
      </c>
      <c r="H12">
        <f t="shared" si="0"/>
        <v>11</v>
      </c>
      <c r="I12" t="str" cm="1">
        <f t="array" ref="I12">_xlfn.IFS(H12&gt;=13,"Best Customers",H12&gt;=10,"Loyal Customers",H12&gt;=7,"Potential Loyal Customers",H12&gt;=4,"Need Attention",TRUE,"At Risk")</f>
        <v>Loyal Customers</v>
      </c>
    </row>
    <row r="13" spans="1:12" x14ac:dyDescent="0.25">
      <c r="A13" t="s">
        <v>994</v>
      </c>
      <c r="B13" s="5">
        <v>584</v>
      </c>
      <c r="C13" s="5">
        <v>1</v>
      </c>
      <c r="D13" s="2">
        <v>9070.18</v>
      </c>
      <c r="E13" cm="1">
        <f t="array" ref="E13">_xlfn.IFS(
B13&lt;=_xlfn.PERCENTILE.INC($B$2:$B$246,0.2),5,
B13&lt;=_xlfn.PERCENTILE.INC($B$2:$B$246,0.4),4,
B13&lt;=_xlfn.PERCENTILE.INC($B$2:$B$246,0.6),3,
B13&lt;=_xlfn.PERCENTILE.INC($B$2:$B$246,0.8),2,
TRUE,1
)</f>
        <v>1</v>
      </c>
      <c r="F13" cm="1">
        <f t="array" ref="F13">_xlfn.IFS(
C13&gt;=_xlfn.PERCENTILE.INC($C$2:$C$246,0.8),5,
C13&gt;=_xlfn.PERCENTILE.INC($C$2:$C$246,0.6),4,
C13&gt;=_xlfn.PERCENTILE.INC($C$2:$C$246,0.4),3,
C13&gt;=_xlfn.PERCENTILE.INC($C$2:$C$246,0.2),2,
TRUE,1
)</f>
        <v>1</v>
      </c>
      <c r="G13" cm="1">
        <f t="array" ref="G13">_xlfn.IFS(
D13&gt;=_xlfn.PERCENTILE.INC($D$2:$D$246,0.8),5,
D13&gt;=_xlfn.PERCENTILE.INC($D$2:$D$246,0.6),4,
D13&gt;=_xlfn.PERCENTILE.INC($D$2:$D$246,0.4),3,
D13&gt;=_xlfn.PERCENTILE.INC($D$2:$D$246,0.2),2,
TRUE,1
)</f>
        <v>1</v>
      </c>
      <c r="H13">
        <f t="shared" si="0"/>
        <v>3</v>
      </c>
      <c r="I13" t="str" cm="1">
        <f t="array" ref="I13">_xlfn.IFS(H13&gt;=13,"Best Customers",H13&gt;=10,"Loyal Customers",H13&gt;=7,"Potential Loyal Customers",H13&gt;=4,"Need Attention",TRUE,"At Risk")</f>
        <v>At Risk</v>
      </c>
    </row>
    <row r="14" spans="1:12" x14ac:dyDescent="0.25">
      <c r="A14" t="s">
        <v>387</v>
      </c>
      <c r="B14" s="5">
        <v>83</v>
      </c>
      <c r="C14" s="5">
        <v>2</v>
      </c>
      <c r="D14" s="2">
        <v>12303.82</v>
      </c>
      <c r="E14" cm="1">
        <f t="array" ref="E14">_xlfn.IFS(
B14&lt;=_xlfn.PERCENTILE.INC($B$2:$B$246,0.2),5,
B14&lt;=_xlfn.PERCENTILE.INC($B$2:$B$246,0.4),4,
B14&lt;=_xlfn.PERCENTILE.INC($B$2:$B$246,0.6),3,
B14&lt;=_xlfn.PERCENTILE.INC($B$2:$B$246,0.8),2,
TRUE,1
)</f>
        <v>4</v>
      </c>
      <c r="F14" cm="1">
        <f t="array" ref="F14">_xlfn.IFS(
C14&gt;=_xlfn.PERCENTILE.INC($C$2:$C$246,0.8),5,
C14&gt;=_xlfn.PERCENTILE.INC($C$2:$C$246,0.6),4,
C14&gt;=_xlfn.PERCENTILE.INC($C$2:$C$246,0.4),3,
C14&gt;=_xlfn.PERCENTILE.INC($C$2:$C$246,0.2),2,
TRUE,1
)</f>
        <v>2</v>
      </c>
      <c r="G14" cm="1">
        <f t="array" ref="G14">_xlfn.IFS(
D14&gt;=_xlfn.PERCENTILE.INC($D$2:$D$246,0.8),5,
D14&gt;=_xlfn.PERCENTILE.INC($D$2:$D$246,0.6),4,
D14&gt;=_xlfn.PERCENTILE.INC($D$2:$D$246,0.4),3,
D14&gt;=_xlfn.PERCENTILE.INC($D$2:$D$246,0.2),2,
TRUE,1
)</f>
        <v>2</v>
      </c>
      <c r="H14">
        <f t="shared" si="0"/>
        <v>8</v>
      </c>
      <c r="I14" t="str" cm="1">
        <f t="array" ref="I14">_xlfn.IFS(H14&gt;=13,"Best Customers",H14&gt;=10,"Loyal Customers",H14&gt;=7,"Potential Loyal Customers",H14&gt;=4,"Need Attention",TRUE,"At Risk")</f>
        <v>Potential Loyal Customers</v>
      </c>
    </row>
    <row r="15" spans="1:12" x14ac:dyDescent="0.25">
      <c r="A15" t="s">
        <v>371</v>
      </c>
      <c r="B15" s="5">
        <v>183</v>
      </c>
      <c r="C15" s="5">
        <v>4</v>
      </c>
      <c r="D15" s="2">
        <v>24800.989999999998</v>
      </c>
      <c r="E15" cm="1">
        <f t="array" ref="E15">_xlfn.IFS(
B15&lt;=_xlfn.PERCENTILE.INC($B$2:$B$246,0.2),5,
B15&lt;=_xlfn.PERCENTILE.INC($B$2:$B$246,0.4),4,
B15&lt;=_xlfn.PERCENTILE.INC($B$2:$B$246,0.6),3,
B15&lt;=_xlfn.PERCENTILE.INC($B$2:$B$246,0.8),2,
TRUE,1
)</f>
        <v>2</v>
      </c>
      <c r="F15" cm="1">
        <f t="array" ref="F15">_xlfn.IFS(
C15&gt;=_xlfn.PERCENTILE.INC($C$2:$C$246,0.8),5,
C15&gt;=_xlfn.PERCENTILE.INC($C$2:$C$246,0.6),4,
C15&gt;=_xlfn.PERCENTILE.INC($C$2:$C$246,0.4),3,
C15&gt;=_xlfn.PERCENTILE.INC($C$2:$C$246,0.2),2,
TRUE,1
)</f>
        <v>3</v>
      </c>
      <c r="G15" cm="1">
        <f t="array" ref="G15">_xlfn.IFS(
D15&gt;=_xlfn.PERCENTILE.INC($D$2:$D$246,0.8),5,
D15&gt;=_xlfn.PERCENTILE.INC($D$2:$D$246,0.6),4,
D15&gt;=_xlfn.PERCENTILE.INC($D$2:$D$246,0.4),3,
D15&gt;=_xlfn.PERCENTILE.INC($D$2:$D$246,0.2),2,
TRUE,1
)</f>
        <v>4</v>
      </c>
      <c r="H15">
        <f t="shared" si="0"/>
        <v>9</v>
      </c>
      <c r="I15" t="str" cm="1">
        <f t="array" ref="I15">_xlfn.IFS(H15&gt;=13,"Best Customers",H15&gt;=10,"Loyal Customers",H15&gt;=7,"Potential Loyal Customers",H15&gt;=4,"Need Attention",TRUE,"At Risk")</f>
        <v>Potential Loyal Customers</v>
      </c>
    </row>
    <row r="16" spans="1:12" x14ac:dyDescent="0.25">
      <c r="A16" t="s">
        <v>564</v>
      </c>
      <c r="B16" s="5">
        <v>59</v>
      </c>
      <c r="C16" s="5">
        <v>3</v>
      </c>
      <c r="D16" s="2">
        <v>10566.1</v>
      </c>
      <c r="E16" cm="1">
        <f t="array" ref="E16">_xlfn.IFS(
B16&lt;=_xlfn.PERCENTILE.INC($B$2:$B$246,0.2),5,
B16&lt;=_xlfn.PERCENTILE.INC($B$2:$B$246,0.4),4,
B16&lt;=_xlfn.PERCENTILE.INC($B$2:$B$246,0.6),3,
B16&lt;=_xlfn.PERCENTILE.INC($B$2:$B$246,0.8),2,
TRUE,1
)</f>
        <v>4</v>
      </c>
      <c r="F16" cm="1">
        <f t="array" ref="F16">_xlfn.IFS(
C16&gt;=_xlfn.PERCENTILE.INC($C$2:$C$246,0.8),5,
C16&gt;=_xlfn.PERCENTILE.INC($C$2:$C$246,0.6),4,
C16&gt;=_xlfn.PERCENTILE.INC($C$2:$C$246,0.4),3,
C16&gt;=_xlfn.PERCENTILE.INC($C$2:$C$246,0.2),2,
TRUE,1
)</f>
        <v>3</v>
      </c>
      <c r="G16" cm="1">
        <f t="array" ref="G16">_xlfn.IFS(
D16&gt;=_xlfn.PERCENTILE.INC($D$2:$D$246,0.8),5,
D16&gt;=_xlfn.PERCENTILE.INC($D$2:$D$246,0.6),4,
D16&gt;=_xlfn.PERCENTILE.INC($D$2:$D$246,0.4),3,
D16&gt;=_xlfn.PERCENTILE.INC($D$2:$D$246,0.2),2,
TRUE,1
)</f>
        <v>2</v>
      </c>
      <c r="H16">
        <f t="shared" si="0"/>
        <v>9</v>
      </c>
      <c r="I16" t="str" cm="1">
        <f t="array" ref="I16">_xlfn.IFS(H16&gt;=13,"Best Customers",H16&gt;=10,"Loyal Customers",H16&gt;=7,"Potential Loyal Customers",H16&gt;=4,"Need Attention",TRUE,"At Risk")</f>
        <v>Potential Loyal Customers</v>
      </c>
    </row>
    <row r="17" spans="1:9" x14ac:dyDescent="0.25">
      <c r="A17" t="s">
        <v>224</v>
      </c>
      <c r="B17" s="5">
        <v>183</v>
      </c>
      <c r="C17" s="5">
        <v>2</v>
      </c>
      <c r="D17" s="2">
        <v>6634.02</v>
      </c>
      <c r="E17" cm="1">
        <f t="array" ref="E17">_xlfn.IFS(
B17&lt;=_xlfn.PERCENTILE.INC($B$2:$B$246,0.2),5,
B17&lt;=_xlfn.PERCENTILE.INC($B$2:$B$246,0.4),4,
B17&lt;=_xlfn.PERCENTILE.INC($B$2:$B$246,0.6),3,
B17&lt;=_xlfn.PERCENTILE.INC($B$2:$B$246,0.8),2,
TRUE,1
)</f>
        <v>2</v>
      </c>
      <c r="F17" cm="1">
        <f t="array" ref="F17">_xlfn.IFS(
C17&gt;=_xlfn.PERCENTILE.INC($C$2:$C$246,0.8),5,
C17&gt;=_xlfn.PERCENTILE.INC($C$2:$C$246,0.6),4,
C17&gt;=_xlfn.PERCENTILE.INC($C$2:$C$246,0.4),3,
C17&gt;=_xlfn.PERCENTILE.INC($C$2:$C$246,0.2),2,
TRUE,1
)</f>
        <v>2</v>
      </c>
      <c r="G17" cm="1">
        <f t="array" ref="G17">_xlfn.IFS(
D17&gt;=_xlfn.PERCENTILE.INC($D$2:$D$246,0.8),5,
D17&gt;=_xlfn.PERCENTILE.INC($D$2:$D$246,0.6),4,
D17&gt;=_xlfn.PERCENTILE.INC($D$2:$D$246,0.4),3,
D17&gt;=_xlfn.PERCENTILE.INC($D$2:$D$246,0.2),2,
TRUE,1
)</f>
        <v>1</v>
      </c>
      <c r="H17">
        <f t="shared" si="0"/>
        <v>5</v>
      </c>
      <c r="I17" t="str" cm="1">
        <f t="array" ref="I17">_xlfn.IFS(H17&gt;=13,"Best Customers",H17&gt;=10,"Loyal Customers",H17&gt;=7,"Potential Loyal Customers",H17&gt;=4,"Need Attention",TRUE,"At Risk")</f>
        <v>Need Attention</v>
      </c>
    </row>
    <row r="18" spans="1:9" x14ac:dyDescent="0.25">
      <c r="A18" t="s">
        <v>280</v>
      </c>
      <c r="B18" s="5">
        <v>271</v>
      </c>
      <c r="C18" s="5">
        <v>2</v>
      </c>
      <c r="D18" s="2">
        <v>14719.57</v>
      </c>
      <c r="E18" cm="1">
        <f t="array" ref="E18">_xlfn.IFS(
B18&lt;=_xlfn.PERCENTILE.INC($B$2:$B$246,0.2),5,
B18&lt;=_xlfn.PERCENTILE.INC($B$2:$B$246,0.4),4,
B18&lt;=_xlfn.PERCENTILE.INC($B$2:$B$246,0.6),3,
B18&lt;=_xlfn.PERCENTILE.INC($B$2:$B$246,0.8),2,
TRUE,1
)</f>
        <v>2</v>
      </c>
      <c r="F18" cm="1">
        <f t="array" ref="F18">_xlfn.IFS(
C18&gt;=_xlfn.PERCENTILE.INC($C$2:$C$246,0.8),5,
C18&gt;=_xlfn.PERCENTILE.INC($C$2:$C$246,0.6),4,
C18&gt;=_xlfn.PERCENTILE.INC($C$2:$C$246,0.4),3,
C18&gt;=_xlfn.PERCENTILE.INC($C$2:$C$246,0.2),2,
TRUE,1
)</f>
        <v>2</v>
      </c>
      <c r="G18" cm="1">
        <f t="array" ref="G18">_xlfn.IFS(
D18&gt;=_xlfn.PERCENTILE.INC($D$2:$D$246,0.8),5,
D18&gt;=_xlfn.PERCENTILE.INC($D$2:$D$246,0.6),4,
D18&gt;=_xlfn.PERCENTILE.INC($D$2:$D$246,0.4),3,
D18&gt;=_xlfn.PERCENTILE.INC($D$2:$D$246,0.2),2,
TRUE,1
)</f>
        <v>2</v>
      </c>
      <c r="H18">
        <f t="shared" si="0"/>
        <v>6</v>
      </c>
      <c r="I18" t="str" cm="1">
        <f t="array" ref="I18">_xlfn.IFS(H18&gt;=13,"Best Customers",H18&gt;=10,"Loyal Customers",H18&gt;=7,"Potential Loyal Customers",H18&gt;=4,"Need Attention",TRUE,"At Risk")</f>
        <v>Need Attention</v>
      </c>
    </row>
    <row r="19" spans="1:9" x14ac:dyDescent="0.25">
      <c r="A19" t="s">
        <v>270</v>
      </c>
      <c r="B19" s="5">
        <v>355</v>
      </c>
      <c r="C19" s="5">
        <v>3</v>
      </c>
      <c r="D19" s="2">
        <v>15818.079999999998</v>
      </c>
      <c r="E19" cm="1">
        <f t="array" ref="E19">_xlfn.IFS(
B19&lt;=_xlfn.PERCENTILE.INC($B$2:$B$246,0.2),5,
B19&lt;=_xlfn.PERCENTILE.INC($B$2:$B$246,0.4),4,
B19&lt;=_xlfn.PERCENTILE.INC($B$2:$B$246,0.6),3,
B19&lt;=_xlfn.PERCENTILE.INC($B$2:$B$246,0.8),2,
TRUE,1
)</f>
        <v>1</v>
      </c>
      <c r="F19" cm="1">
        <f t="array" ref="F19">_xlfn.IFS(
C19&gt;=_xlfn.PERCENTILE.INC($C$2:$C$246,0.8),5,
C19&gt;=_xlfn.PERCENTILE.INC($C$2:$C$246,0.6),4,
C19&gt;=_xlfn.PERCENTILE.INC($C$2:$C$246,0.4),3,
C19&gt;=_xlfn.PERCENTILE.INC($C$2:$C$246,0.2),2,
TRUE,1
)</f>
        <v>3</v>
      </c>
      <c r="G19" cm="1">
        <f t="array" ref="G19">_xlfn.IFS(
D19&gt;=_xlfn.PERCENTILE.INC($D$2:$D$246,0.8),5,
D19&gt;=_xlfn.PERCENTILE.INC($D$2:$D$246,0.6),4,
D19&gt;=_xlfn.PERCENTILE.INC($D$2:$D$246,0.4),3,
D19&gt;=_xlfn.PERCENTILE.INC($D$2:$D$246,0.2),2,
TRUE,1
)</f>
        <v>2</v>
      </c>
      <c r="H19">
        <f t="shared" si="0"/>
        <v>6</v>
      </c>
      <c r="I19" t="str" cm="1">
        <f t="array" ref="I19">_xlfn.IFS(H19&gt;=13,"Best Customers",H19&gt;=10,"Loyal Customers",H19&gt;=7,"Potential Loyal Customers",H19&gt;=4,"Need Attention",TRUE,"At Risk")</f>
        <v>Need Attention</v>
      </c>
    </row>
    <row r="20" spans="1:9" x14ac:dyDescent="0.25">
      <c r="A20" t="s">
        <v>1081</v>
      </c>
      <c r="B20" s="5">
        <v>86</v>
      </c>
      <c r="C20" s="5">
        <v>1</v>
      </c>
      <c r="D20" s="2">
        <v>8714.69</v>
      </c>
      <c r="E20" cm="1">
        <f t="array" ref="E20">_xlfn.IFS(
B20&lt;=_xlfn.PERCENTILE.INC($B$2:$B$246,0.2),5,
B20&lt;=_xlfn.PERCENTILE.INC($B$2:$B$246,0.4),4,
B20&lt;=_xlfn.PERCENTILE.INC($B$2:$B$246,0.6),3,
B20&lt;=_xlfn.PERCENTILE.INC($B$2:$B$246,0.8),2,
TRUE,1
)</f>
        <v>4</v>
      </c>
      <c r="F20" cm="1">
        <f t="array" ref="F20">_xlfn.IFS(
C20&gt;=_xlfn.PERCENTILE.INC($C$2:$C$246,0.8),5,
C20&gt;=_xlfn.PERCENTILE.INC($C$2:$C$246,0.6),4,
C20&gt;=_xlfn.PERCENTILE.INC($C$2:$C$246,0.4),3,
C20&gt;=_xlfn.PERCENTILE.INC($C$2:$C$246,0.2),2,
TRUE,1
)</f>
        <v>1</v>
      </c>
      <c r="G20" cm="1">
        <f t="array" ref="G20">_xlfn.IFS(
D20&gt;=_xlfn.PERCENTILE.INC($D$2:$D$246,0.8),5,
D20&gt;=_xlfn.PERCENTILE.INC($D$2:$D$246,0.6),4,
D20&gt;=_xlfn.PERCENTILE.INC($D$2:$D$246,0.4),3,
D20&gt;=_xlfn.PERCENTILE.INC($D$2:$D$246,0.2),2,
TRUE,1
)</f>
        <v>1</v>
      </c>
      <c r="H20">
        <f t="shared" si="0"/>
        <v>6</v>
      </c>
      <c r="I20" t="str" cm="1">
        <f t="array" ref="I20">_xlfn.IFS(H20&gt;=13,"Best Customers",H20&gt;=10,"Loyal Customers",H20&gt;=7,"Potential Loyal Customers",H20&gt;=4,"Need Attention",TRUE,"At Risk")</f>
        <v>Need Attention</v>
      </c>
    </row>
    <row r="21" spans="1:9" x14ac:dyDescent="0.25">
      <c r="A21" t="s">
        <v>878</v>
      </c>
      <c r="B21" s="5">
        <v>287</v>
      </c>
      <c r="C21" s="5">
        <v>1</v>
      </c>
      <c r="D21" s="2">
        <v>567.35</v>
      </c>
      <c r="E21" cm="1">
        <f t="array" ref="E21">_xlfn.IFS(
B21&lt;=_xlfn.PERCENTILE.INC($B$2:$B$246,0.2),5,
B21&lt;=_xlfn.PERCENTILE.INC($B$2:$B$246,0.4),4,
B21&lt;=_xlfn.PERCENTILE.INC($B$2:$B$246,0.6),3,
B21&lt;=_xlfn.PERCENTILE.INC($B$2:$B$246,0.8),2,
TRUE,1
)</f>
        <v>1</v>
      </c>
      <c r="F21" cm="1">
        <f t="array" ref="F21">_xlfn.IFS(
C21&gt;=_xlfn.PERCENTILE.INC($C$2:$C$246,0.8),5,
C21&gt;=_xlfn.PERCENTILE.INC($C$2:$C$246,0.6),4,
C21&gt;=_xlfn.PERCENTILE.INC($C$2:$C$246,0.4),3,
C21&gt;=_xlfn.PERCENTILE.INC($C$2:$C$246,0.2),2,
TRUE,1
)</f>
        <v>1</v>
      </c>
      <c r="G21" cm="1">
        <f t="array" ref="G21">_xlfn.IFS(
D21&gt;=_xlfn.PERCENTILE.INC($D$2:$D$246,0.8),5,
D21&gt;=_xlfn.PERCENTILE.INC($D$2:$D$246,0.6),4,
D21&gt;=_xlfn.PERCENTILE.INC($D$2:$D$246,0.4),3,
D21&gt;=_xlfn.PERCENTILE.INC($D$2:$D$246,0.2),2,
TRUE,1
)</f>
        <v>1</v>
      </c>
      <c r="H21">
        <f t="shared" si="0"/>
        <v>3</v>
      </c>
      <c r="I21" t="str" cm="1">
        <f t="array" ref="I21">_xlfn.IFS(H21&gt;=13,"Best Customers",H21&gt;=10,"Loyal Customers",H21&gt;=7,"Potential Loyal Customers",H21&gt;=4,"Need Attention",TRUE,"At Risk")</f>
        <v>At Risk</v>
      </c>
    </row>
    <row r="22" spans="1:9" x14ac:dyDescent="0.25">
      <c r="A22" t="s">
        <v>571</v>
      </c>
      <c r="B22" s="5">
        <v>206</v>
      </c>
      <c r="C22" s="5">
        <v>7</v>
      </c>
      <c r="D22" s="2">
        <v>52120.80999999999</v>
      </c>
      <c r="E22" cm="1">
        <f t="array" ref="E22">_xlfn.IFS(
B22&lt;=_xlfn.PERCENTILE.INC($B$2:$B$246,0.2),5,
B22&lt;=_xlfn.PERCENTILE.INC($B$2:$B$246,0.4),4,
B22&lt;=_xlfn.PERCENTILE.INC($B$2:$B$246,0.6),3,
B22&lt;=_xlfn.PERCENTILE.INC($B$2:$B$246,0.8),2,
TRUE,1
)</f>
        <v>2</v>
      </c>
      <c r="F22" cm="1">
        <f t="array" ref="F22">_xlfn.IFS(
C22&gt;=_xlfn.PERCENTILE.INC($C$2:$C$246,0.8),5,
C22&gt;=_xlfn.PERCENTILE.INC($C$2:$C$246,0.6),4,
C22&gt;=_xlfn.PERCENTILE.INC($C$2:$C$246,0.4),3,
C22&gt;=_xlfn.PERCENTILE.INC($C$2:$C$246,0.2),2,
TRUE,1
)</f>
        <v>5</v>
      </c>
      <c r="G22" cm="1">
        <f t="array" ref="G22">_xlfn.IFS(
D22&gt;=_xlfn.PERCENTILE.INC($D$2:$D$246,0.8),5,
D22&gt;=_xlfn.PERCENTILE.INC($D$2:$D$246,0.6),4,
D22&gt;=_xlfn.PERCENTILE.INC($D$2:$D$246,0.4),3,
D22&gt;=_xlfn.PERCENTILE.INC($D$2:$D$246,0.2),2,
TRUE,1
)</f>
        <v>5</v>
      </c>
      <c r="H22">
        <f t="shared" si="0"/>
        <v>12</v>
      </c>
      <c r="I22" t="str" cm="1">
        <f t="array" ref="I22">_xlfn.IFS(H22&gt;=13,"Best Customers",H22&gt;=10,"Loyal Customers",H22&gt;=7,"Potential Loyal Customers",H22&gt;=4,"Need Attention",TRUE,"At Risk")</f>
        <v>Loyal Customers</v>
      </c>
    </row>
    <row r="23" spans="1:9" x14ac:dyDescent="0.25">
      <c r="A23" t="s">
        <v>713</v>
      </c>
      <c r="B23" s="5">
        <v>405</v>
      </c>
      <c r="C23" s="5">
        <v>4</v>
      </c>
      <c r="D23" s="2">
        <v>18572.29</v>
      </c>
      <c r="E23" cm="1">
        <f t="array" ref="E23">_xlfn.IFS(
B23&lt;=_xlfn.PERCENTILE.INC($B$2:$B$246,0.2),5,
B23&lt;=_xlfn.PERCENTILE.INC($B$2:$B$246,0.4),4,
B23&lt;=_xlfn.PERCENTILE.INC($B$2:$B$246,0.6),3,
B23&lt;=_xlfn.PERCENTILE.INC($B$2:$B$246,0.8),2,
TRUE,1
)</f>
        <v>1</v>
      </c>
      <c r="F23" cm="1">
        <f t="array" ref="F23">_xlfn.IFS(
C23&gt;=_xlfn.PERCENTILE.INC($C$2:$C$246,0.8),5,
C23&gt;=_xlfn.PERCENTILE.INC($C$2:$C$246,0.6),4,
C23&gt;=_xlfn.PERCENTILE.INC($C$2:$C$246,0.4),3,
C23&gt;=_xlfn.PERCENTILE.INC($C$2:$C$246,0.2),2,
TRUE,1
)</f>
        <v>3</v>
      </c>
      <c r="G23" cm="1">
        <f t="array" ref="G23">_xlfn.IFS(
D23&gt;=_xlfn.PERCENTILE.INC($D$2:$D$246,0.8),5,
D23&gt;=_xlfn.PERCENTILE.INC($D$2:$D$246,0.6),4,
D23&gt;=_xlfn.PERCENTILE.INC($D$2:$D$246,0.4),3,
D23&gt;=_xlfn.PERCENTILE.INC($D$2:$D$246,0.2),2,
TRUE,1
)</f>
        <v>3</v>
      </c>
      <c r="H23">
        <f t="shared" si="0"/>
        <v>7</v>
      </c>
      <c r="I23" t="str" cm="1">
        <f t="array" ref="I23">_xlfn.IFS(H23&gt;=13,"Best Customers",H23&gt;=10,"Loyal Customers",H23&gt;=7,"Potential Loyal Customers",H23&gt;=4,"Need Attention",TRUE,"At Risk")</f>
        <v>Potential Loyal Customers</v>
      </c>
    </row>
    <row r="24" spans="1:9" x14ac:dyDescent="0.25">
      <c r="A24" t="s">
        <v>58</v>
      </c>
      <c r="B24" s="5">
        <v>40</v>
      </c>
      <c r="C24" s="5">
        <v>6</v>
      </c>
      <c r="D24" s="2">
        <v>26944.800000000003</v>
      </c>
      <c r="E24" cm="1">
        <f t="array" ref="E24">_xlfn.IFS(
B24&lt;=_xlfn.PERCENTILE.INC($B$2:$B$246,0.2),5,
B24&lt;=_xlfn.PERCENTILE.INC($B$2:$B$246,0.4),4,
B24&lt;=_xlfn.PERCENTILE.INC($B$2:$B$246,0.6),3,
B24&lt;=_xlfn.PERCENTILE.INC($B$2:$B$246,0.8),2,
TRUE,1
)</f>
        <v>5</v>
      </c>
      <c r="F24" cm="1">
        <f t="array" ref="F24">_xlfn.IFS(
C24&gt;=_xlfn.PERCENTILE.INC($C$2:$C$246,0.8),5,
C24&gt;=_xlfn.PERCENTILE.INC($C$2:$C$246,0.6),4,
C24&gt;=_xlfn.PERCENTILE.INC($C$2:$C$246,0.4),3,
C24&gt;=_xlfn.PERCENTILE.INC($C$2:$C$246,0.2),2,
TRUE,1
)</f>
        <v>5</v>
      </c>
      <c r="G24" cm="1">
        <f t="array" ref="G24">_xlfn.IFS(
D24&gt;=_xlfn.PERCENTILE.INC($D$2:$D$246,0.8),5,
D24&gt;=_xlfn.PERCENTILE.INC($D$2:$D$246,0.6),4,
D24&gt;=_xlfn.PERCENTILE.INC($D$2:$D$246,0.4),3,
D24&gt;=_xlfn.PERCENTILE.INC($D$2:$D$246,0.2),2,
TRUE,1
)</f>
        <v>4</v>
      </c>
      <c r="H24">
        <f t="shared" si="0"/>
        <v>14</v>
      </c>
      <c r="I24" t="str" cm="1">
        <f t="array" ref="I24">_xlfn.IFS(H24&gt;=13,"Best Customers",H24&gt;=10,"Loyal Customers",H24&gt;=7,"Potential Loyal Customers",H24&gt;=4,"Need Attention",TRUE,"At Risk")</f>
        <v>Best Customers</v>
      </c>
    </row>
    <row r="25" spans="1:9" x14ac:dyDescent="0.25">
      <c r="A25" t="s">
        <v>1061</v>
      </c>
      <c r="B25" s="5">
        <v>76</v>
      </c>
      <c r="C25" s="5">
        <v>2</v>
      </c>
      <c r="D25" s="2">
        <v>9001.8499999999985</v>
      </c>
      <c r="E25" cm="1">
        <f t="array" ref="E25">_xlfn.IFS(
B25&lt;=_xlfn.PERCENTILE.INC($B$2:$B$246,0.2),5,
B25&lt;=_xlfn.PERCENTILE.INC($B$2:$B$246,0.4),4,
B25&lt;=_xlfn.PERCENTILE.INC($B$2:$B$246,0.6),3,
B25&lt;=_xlfn.PERCENTILE.INC($B$2:$B$246,0.8),2,
TRUE,1
)</f>
        <v>4</v>
      </c>
      <c r="F25" cm="1">
        <f t="array" ref="F25">_xlfn.IFS(
C25&gt;=_xlfn.PERCENTILE.INC($C$2:$C$246,0.8),5,
C25&gt;=_xlfn.PERCENTILE.INC($C$2:$C$246,0.6),4,
C25&gt;=_xlfn.PERCENTILE.INC($C$2:$C$246,0.4),3,
C25&gt;=_xlfn.PERCENTILE.INC($C$2:$C$246,0.2),2,
TRUE,1
)</f>
        <v>2</v>
      </c>
      <c r="G25" cm="1">
        <f t="array" ref="G25">_xlfn.IFS(
D25&gt;=_xlfn.PERCENTILE.INC($D$2:$D$246,0.8),5,
D25&gt;=_xlfn.PERCENTILE.INC($D$2:$D$246,0.6),4,
D25&gt;=_xlfn.PERCENTILE.INC($D$2:$D$246,0.4),3,
D25&gt;=_xlfn.PERCENTILE.INC($D$2:$D$246,0.2),2,
TRUE,1
)</f>
        <v>1</v>
      </c>
      <c r="H25">
        <f t="shared" si="0"/>
        <v>7</v>
      </c>
      <c r="I25" t="str" cm="1">
        <f t="array" ref="I25">_xlfn.IFS(H25&gt;=13,"Best Customers",H25&gt;=10,"Loyal Customers",H25&gt;=7,"Potential Loyal Customers",H25&gt;=4,"Need Attention",TRUE,"At Risk")</f>
        <v>Potential Loyal Customers</v>
      </c>
    </row>
    <row r="26" spans="1:9" x14ac:dyDescent="0.25">
      <c r="A26" t="s">
        <v>662</v>
      </c>
      <c r="B26" s="5">
        <v>76</v>
      </c>
      <c r="C26" s="5">
        <v>4</v>
      </c>
      <c r="D26" s="2">
        <v>26478.37</v>
      </c>
      <c r="E26" cm="1">
        <f t="array" ref="E26">_xlfn.IFS(
B26&lt;=_xlfn.PERCENTILE.INC($B$2:$B$246,0.2),5,
B26&lt;=_xlfn.PERCENTILE.INC($B$2:$B$246,0.4),4,
B26&lt;=_xlfn.PERCENTILE.INC($B$2:$B$246,0.6),3,
B26&lt;=_xlfn.PERCENTILE.INC($B$2:$B$246,0.8),2,
TRUE,1
)</f>
        <v>4</v>
      </c>
      <c r="F26" cm="1">
        <f t="array" ref="F26">_xlfn.IFS(
C26&gt;=_xlfn.PERCENTILE.INC($C$2:$C$246,0.8),5,
C26&gt;=_xlfn.PERCENTILE.INC($C$2:$C$246,0.6),4,
C26&gt;=_xlfn.PERCENTILE.INC($C$2:$C$246,0.4),3,
C26&gt;=_xlfn.PERCENTILE.INC($C$2:$C$246,0.2),2,
TRUE,1
)</f>
        <v>3</v>
      </c>
      <c r="G26" cm="1">
        <f t="array" ref="G26">_xlfn.IFS(
D26&gt;=_xlfn.PERCENTILE.INC($D$2:$D$246,0.8),5,
D26&gt;=_xlfn.PERCENTILE.INC($D$2:$D$246,0.6),4,
D26&gt;=_xlfn.PERCENTILE.INC($D$2:$D$246,0.4),3,
D26&gt;=_xlfn.PERCENTILE.INC($D$2:$D$246,0.2),2,
TRUE,1
)</f>
        <v>4</v>
      </c>
      <c r="H26">
        <f t="shared" si="0"/>
        <v>11</v>
      </c>
      <c r="I26" t="str" cm="1">
        <f t="array" ref="I26">_xlfn.IFS(H26&gt;=13,"Best Customers",H26&gt;=10,"Loyal Customers",H26&gt;=7,"Potential Loyal Customers",H26&gt;=4,"Need Attention",TRUE,"At Risk")</f>
        <v>Loyal Customers</v>
      </c>
    </row>
    <row r="27" spans="1:9" x14ac:dyDescent="0.25">
      <c r="A27" t="s">
        <v>416</v>
      </c>
      <c r="B27" s="5">
        <v>99</v>
      </c>
      <c r="C27" s="5">
        <v>2</v>
      </c>
      <c r="D27" s="2">
        <v>9985.02</v>
      </c>
      <c r="E27" cm="1">
        <f t="array" ref="E27">_xlfn.IFS(
B27&lt;=_xlfn.PERCENTILE.INC($B$2:$B$246,0.2),5,
B27&lt;=_xlfn.PERCENTILE.INC($B$2:$B$246,0.4),4,
B27&lt;=_xlfn.PERCENTILE.INC($B$2:$B$246,0.6),3,
B27&lt;=_xlfn.PERCENTILE.INC($B$2:$B$246,0.8),2,
TRUE,1
)</f>
        <v>3</v>
      </c>
      <c r="F27" cm="1">
        <f t="array" ref="F27">_xlfn.IFS(
C27&gt;=_xlfn.PERCENTILE.INC($C$2:$C$246,0.8),5,
C27&gt;=_xlfn.PERCENTILE.INC($C$2:$C$246,0.6),4,
C27&gt;=_xlfn.PERCENTILE.INC($C$2:$C$246,0.4),3,
C27&gt;=_xlfn.PERCENTILE.INC($C$2:$C$246,0.2),2,
TRUE,1
)</f>
        <v>2</v>
      </c>
      <c r="G27" cm="1">
        <f t="array" ref="G27">_xlfn.IFS(
D27&gt;=_xlfn.PERCENTILE.INC($D$2:$D$246,0.8),5,
D27&gt;=_xlfn.PERCENTILE.INC($D$2:$D$246,0.6),4,
D27&gt;=_xlfn.PERCENTILE.INC($D$2:$D$246,0.4),3,
D27&gt;=_xlfn.PERCENTILE.INC($D$2:$D$246,0.2),2,
TRUE,1
)</f>
        <v>1</v>
      </c>
      <c r="H27">
        <f t="shared" si="0"/>
        <v>6</v>
      </c>
      <c r="I27" t="str" cm="1">
        <f t="array" ref="I27">_xlfn.IFS(H27&gt;=13,"Best Customers",H27&gt;=10,"Loyal Customers",H27&gt;=7,"Potential Loyal Customers",H27&gt;=4,"Need Attention",TRUE,"At Risk")</f>
        <v>Need Attention</v>
      </c>
    </row>
    <row r="28" spans="1:9" x14ac:dyDescent="0.25">
      <c r="A28" t="s">
        <v>345</v>
      </c>
      <c r="B28" s="5">
        <v>231</v>
      </c>
      <c r="C28" s="5">
        <v>5</v>
      </c>
      <c r="D28" s="2">
        <v>24291.22</v>
      </c>
      <c r="E28" cm="1">
        <f t="array" ref="E28">_xlfn.IFS(
B28&lt;=_xlfn.PERCENTILE.INC($B$2:$B$246,0.2),5,
B28&lt;=_xlfn.PERCENTILE.INC($B$2:$B$246,0.4),4,
B28&lt;=_xlfn.PERCENTILE.INC($B$2:$B$246,0.6),3,
B28&lt;=_xlfn.PERCENTILE.INC($B$2:$B$246,0.8),2,
TRUE,1
)</f>
        <v>2</v>
      </c>
      <c r="F28" cm="1">
        <f t="array" ref="F28">_xlfn.IFS(
C28&gt;=_xlfn.PERCENTILE.INC($C$2:$C$246,0.8),5,
C28&gt;=_xlfn.PERCENTILE.INC($C$2:$C$246,0.6),4,
C28&gt;=_xlfn.PERCENTILE.INC($C$2:$C$246,0.4),3,
C28&gt;=_xlfn.PERCENTILE.INC($C$2:$C$246,0.2),2,
TRUE,1
)</f>
        <v>4</v>
      </c>
      <c r="G28" cm="1">
        <f t="array" ref="G28">_xlfn.IFS(
D28&gt;=_xlfn.PERCENTILE.INC($D$2:$D$246,0.8),5,
D28&gt;=_xlfn.PERCENTILE.INC($D$2:$D$246,0.6),4,
D28&gt;=_xlfn.PERCENTILE.INC($D$2:$D$246,0.4),3,
D28&gt;=_xlfn.PERCENTILE.INC($D$2:$D$246,0.2),2,
TRUE,1
)</f>
        <v>4</v>
      </c>
      <c r="H28">
        <f t="shared" si="0"/>
        <v>10</v>
      </c>
      <c r="I28" t="str" cm="1">
        <f t="array" ref="I28">_xlfn.IFS(H28&gt;=13,"Best Customers",H28&gt;=10,"Loyal Customers",H28&gt;=7,"Potential Loyal Customers",H28&gt;=4,"Need Attention",TRUE,"At Risk")</f>
        <v>Loyal Customers</v>
      </c>
    </row>
    <row r="29" spans="1:9" x14ac:dyDescent="0.25">
      <c r="A29" t="s">
        <v>209</v>
      </c>
      <c r="B29" s="5">
        <v>87</v>
      </c>
      <c r="C29" s="5">
        <v>2</v>
      </c>
      <c r="D29" s="2">
        <v>8263.2800000000007</v>
      </c>
      <c r="E29" cm="1">
        <f t="array" ref="E29">_xlfn.IFS(
B29&lt;=_xlfn.PERCENTILE.INC($B$2:$B$246,0.2),5,
B29&lt;=_xlfn.PERCENTILE.INC($B$2:$B$246,0.4),4,
B29&lt;=_xlfn.PERCENTILE.INC($B$2:$B$246,0.6),3,
B29&lt;=_xlfn.PERCENTILE.INC($B$2:$B$246,0.8),2,
TRUE,1
)</f>
        <v>4</v>
      </c>
      <c r="F29" cm="1">
        <f t="array" ref="F29">_xlfn.IFS(
C29&gt;=_xlfn.PERCENTILE.INC($C$2:$C$246,0.8),5,
C29&gt;=_xlfn.PERCENTILE.INC($C$2:$C$246,0.6),4,
C29&gt;=_xlfn.PERCENTILE.INC($C$2:$C$246,0.4),3,
C29&gt;=_xlfn.PERCENTILE.INC($C$2:$C$246,0.2),2,
TRUE,1
)</f>
        <v>2</v>
      </c>
      <c r="G29" cm="1">
        <f t="array" ref="G29">_xlfn.IFS(
D29&gt;=_xlfn.PERCENTILE.INC($D$2:$D$246,0.8),5,
D29&gt;=_xlfn.PERCENTILE.INC($D$2:$D$246,0.6),4,
D29&gt;=_xlfn.PERCENTILE.INC($D$2:$D$246,0.4),3,
D29&gt;=_xlfn.PERCENTILE.INC($D$2:$D$246,0.2),2,
TRUE,1
)</f>
        <v>1</v>
      </c>
      <c r="H29">
        <f t="shared" si="0"/>
        <v>7</v>
      </c>
      <c r="I29" t="str" cm="1">
        <f t="array" ref="I29">_xlfn.IFS(H29&gt;=13,"Best Customers",H29&gt;=10,"Loyal Customers",H29&gt;=7,"Potential Loyal Customers",H29&gt;=4,"Need Attention",TRUE,"At Risk")</f>
        <v>Potential Loyal Customers</v>
      </c>
    </row>
    <row r="30" spans="1:9" x14ac:dyDescent="0.25">
      <c r="A30" t="s">
        <v>191</v>
      </c>
      <c r="B30" s="5">
        <v>111</v>
      </c>
      <c r="C30" s="5">
        <v>3</v>
      </c>
      <c r="D30" s="2">
        <v>14840.539999999999</v>
      </c>
      <c r="E30" cm="1">
        <f t="array" ref="E30">_xlfn.IFS(
B30&lt;=_xlfn.PERCENTILE.INC($B$2:$B$246,0.2),5,
B30&lt;=_xlfn.PERCENTILE.INC($B$2:$B$246,0.4),4,
B30&lt;=_xlfn.PERCENTILE.INC($B$2:$B$246,0.6),3,
B30&lt;=_xlfn.PERCENTILE.INC($B$2:$B$246,0.8),2,
TRUE,1
)</f>
        <v>3</v>
      </c>
      <c r="F30" cm="1">
        <f t="array" ref="F30">_xlfn.IFS(
C30&gt;=_xlfn.PERCENTILE.INC($C$2:$C$246,0.8),5,
C30&gt;=_xlfn.PERCENTILE.INC($C$2:$C$246,0.6),4,
C30&gt;=_xlfn.PERCENTILE.INC($C$2:$C$246,0.4),3,
C30&gt;=_xlfn.PERCENTILE.INC($C$2:$C$246,0.2),2,
TRUE,1
)</f>
        <v>3</v>
      </c>
      <c r="G30" cm="1">
        <f t="array" ref="G30">_xlfn.IFS(
D30&gt;=_xlfn.PERCENTILE.INC($D$2:$D$246,0.8),5,
D30&gt;=_xlfn.PERCENTILE.INC($D$2:$D$246,0.6),4,
D30&gt;=_xlfn.PERCENTILE.INC($D$2:$D$246,0.4),3,
D30&gt;=_xlfn.PERCENTILE.INC($D$2:$D$246,0.2),2,
TRUE,1
)</f>
        <v>2</v>
      </c>
      <c r="H30">
        <f t="shared" si="0"/>
        <v>8</v>
      </c>
      <c r="I30" t="str" cm="1">
        <f t="array" ref="I30">_xlfn.IFS(H30&gt;=13,"Best Customers",H30&gt;=10,"Loyal Customers",H30&gt;=7,"Potential Loyal Customers",H30&gt;=4,"Need Attention",TRUE,"At Risk")</f>
        <v>Potential Loyal Customers</v>
      </c>
    </row>
    <row r="31" spans="1:9" x14ac:dyDescent="0.25">
      <c r="A31" t="s">
        <v>494</v>
      </c>
      <c r="B31" s="5">
        <v>63</v>
      </c>
      <c r="C31" s="5">
        <v>5</v>
      </c>
      <c r="D31" s="2">
        <v>17836.77</v>
      </c>
      <c r="E31" cm="1">
        <f t="array" ref="E31">_xlfn.IFS(
B31&lt;=_xlfn.PERCENTILE.INC($B$2:$B$246,0.2),5,
B31&lt;=_xlfn.PERCENTILE.INC($B$2:$B$246,0.4),4,
B31&lt;=_xlfn.PERCENTILE.INC($B$2:$B$246,0.6),3,
B31&lt;=_xlfn.PERCENTILE.INC($B$2:$B$246,0.8),2,
TRUE,1
)</f>
        <v>4</v>
      </c>
      <c r="F31" cm="1">
        <f t="array" ref="F31">_xlfn.IFS(
C31&gt;=_xlfn.PERCENTILE.INC($C$2:$C$246,0.8),5,
C31&gt;=_xlfn.PERCENTILE.INC($C$2:$C$246,0.6),4,
C31&gt;=_xlfn.PERCENTILE.INC($C$2:$C$246,0.4),3,
C31&gt;=_xlfn.PERCENTILE.INC($C$2:$C$246,0.2),2,
TRUE,1
)</f>
        <v>4</v>
      </c>
      <c r="G31" cm="1">
        <f t="array" ref="G31">_xlfn.IFS(
D31&gt;=_xlfn.PERCENTILE.INC($D$2:$D$246,0.8),5,
D31&gt;=_xlfn.PERCENTILE.INC($D$2:$D$246,0.6),4,
D31&gt;=_xlfn.PERCENTILE.INC($D$2:$D$246,0.4),3,
D31&gt;=_xlfn.PERCENTILE.INC($D$2:$D$246,0.2),2,
TRUE,1
)</f>
        <v>3</v>
      </c>
      <c r="H31">
        <f t="shared" si="0"/>
        <v>11</v>
      </c>
      <c r="I31" t="str" cm="1">
        <f t="array" ref="I31">_xlfn.IFS(H31&gt;=13,"Best Customers",H31&gt;=10,"Loyal Customers",H31&gt;=7,"Potential Loyal Customers",H31&gt;=4,"Need Attention",TRUE,"At Risk")</f>
        <v>Loyal Customers</v>
      </c>
    </row>
    <row r="32" spans="1:9" x14ac:dyDescent="0.25">
      <c r="A32" t="s">
        <v>478</v>
      </c>
      <c r="B32" s="5">
        <v>23</v>
      </c>
      <c r="C32" s="5">
        <v>5</v>
      </c>
      <c r="D32" s="2">
        <v>31460.059999999998</v>
      </c>
      <c r="E32" cm="1">
        <f t="array" ref="E32">_xlfn.IFS(
B32&lt;=_xlfn.PERCENTILE.INC($B$2:$B$246,0.2),5,
B32&lt;=_xlfn.PERCENTILE.INC($B$2:$B$246,0.4),4,
B32&lt;=_xlfn.PERCENTILE.INC($B$2:$B$246,0.6),3,
B32&lt;=_xlfn.PERCENTILE.INC($B$2:$B$246,0.8),2,
TRUE,1
)</f>
        <v>5</v>
      </c>
      <c r="F32" cm="1">
        <f t="array" ref="F32">_xlfn.IFS(
C32&gt;=_xlfn.PERCENTILE.INC($C$2:$C$246,0.8),5,
C32&gt;=_xlfn.PERCENTILE.INC($C$2:$C$246,0.6),4,
C32&gt;=_xlfn.PERCENTILE.INC($C$2:$C$246,0.4),3,
C32&gt;=_xlfn.PERCENTILE.INC($C$2:$C$246,0.2),2,
TRUE,1
)</f>
        <v>4</v>
      </c>
      <c r="G32" cm="1">
        <f t="array" ref="G32">_xlfn.IFS(
D32&gt;=_xlfn.PERCENTILE.INC($D$2:$D$246,0.8),5,
D32&gt;=_xlfn.PERCENTILE.INC($D$2:$D$246,0.6),4,
D32&gt;=_xlfn.PERCENTILE.INC($D$2:$D$246,0.4),3,
D32&gt;=_xlfn.PERCENTILE.INC($D$2:$D$246,0.2),2,
TRUE,1
)</f>
        <v>5</v>
      </c>
      <c r="H32">
        <f t="shared" si="0"/>
        <v>14</v>
      </c>
      <c r="I32" t="str" cm="1">
        <f t="array" ref="I32">_xlfn.IFS(H32&gt;=13,"Best Customers",H32&gt;=10,"Loyal Customers",H32&gt;=7,"Potential Loyal Customers",H32&gt;=4,"Need Attention",TRUE,"At Risk")</f>
        <v>Best Customers</v>
      </c>
    </row>
    <row r="33" spans="1:9" x14ac:dyDescent="0.25">
      <c r="A33" t="s">
        <v>282</v>
      </c>
      <c r="B33" s="5">
        <v>138</v>
      </c>
      <c r="C33" s="5">
        <v>7</v>
      </c>
      <c r="D33" s="2">
        <v>45002.880000000005</v>
      </c>
      <c r="E33" cm="1">
        <f t="array" ref="E33">_xlfn.IFS(
B33&lt;=_xlfn.PERCENTILE.INC($B$2:$B$246,0.2),5,
B33&lt;=_xlfn.PERCENTILE.INC($B$2:$B$246,0.4),4,
B33&lt;=_xlfn.PERCENTILE.INC($B$2:$B$246,0.6),3,
B33&lt;=_xlfn.PERCENTILE.INC($B$2:$B$246,0.8),2,
TRUE,1
)</f>
        <v>3</v>
      </c>
      <c r="F33" cm="1">
        <f t="array" ref="F33">_xlfn.IFS(
C33&gt;=_xlfn.PERCENTILE.INC($C$2:$C$246,0.8),5,
C33&gt;=_xlfn.PERCENTILE.INC($C$2:$C$246,0.6),4,
C33&gt;=_xlfn.PERCENTILE.INC($C$2:$C$246,0.4),3,
C33&gt;=_xlfn.PERCENTILE.INC($C$2:$C$246,0.2),2,
TRUE,1
)</f>
        <v>5</v>
      </c>
      <c r="G33" cm="1">
        <f t="array" ref="G33">_xlfn.IFS(
D33&gt;=_xlfn.PERCENTILE.INC($D$2:$D$246,0.8),5,
D33&gt;=_xlfn.PERCENTILE.INC($D$2:$D$246,0.6),4,
D33&gt;=_xlfn.PERCENTILE.INC($D$2:$D$246,0.4),3,
D33&gt;=_xlfn.PERCENTILE.INC($D$2:$D$246,0.2),2,
TRUE,1
)</f>
        <v>5</v>
      </c>
      <c r="H33">
        <f t="shared" si="0"/>
        <v>13</v>
      </c>
      <c r="I33" t="str" cm="1">
        <f t="array" ref="I33">_xlfn.IFS(H33&gt;=13,"Best Customers",H33&gt;=10,"Loyal Customers",H33&gt;=7,"Potential Loyal Customers",H33&gt;=4,"Need Attention",TRUE,"At Risk")</f>
        <v>Best Customers</v>
      </c>
    </row>
    <row r="34" spans="1:9" x14ac:dyDescent="0.25">
      <c r="A34" t="s">
        <v>1213</v>
      </c>
      <c r="B34" s="5">
        <v>274</v>
      </c>
      <c r="C34" s="5">
        <v>2</v>
      </c>
      <c r="D34" s="2">
        <v>9960.9500000000007</v>
      </c>
      <c r="E34" cm="1">
        <f t="array" ref="E34">_xlfn.IFS(
B34&lt;=_xlfn.PERCENTILE.INC($B$2:$B$246,0.2),5,
B34&lt;=_xlfn.PERCENTILE.INC($B$2:$B$246,0.4),4,
B34&lt;=_xlfn.PERCENTILE.INC($B$2:$B$246,0.6),3,
B34&lt;=_xlfn.PERCENTILE.INC($B$2:$B$246,0.8),2,
TRUE,1
)</f>
        <v>2</v>
      </c>
      <c r="F34" cm="1">
        <f t="array" ref="F34">_xlfn.IFS(
C34&gt;=_xlfn.PERCENTILE.INC($C$2:$C$246,0.8),5,
C34&gt;=_xlfn.PERCENTILE.INC($C$2:$C$246,0.6),4,
C34&gt;=_xlfn.PERCENTILE.INC($C$2:$C$246,0.4),3,
C34&gt;=_xlfn.PERCENTILE.INC($C$2:$C$246,0.2),2,
TRUE,1
)</f>
        <v>2</v>
      </c>
      <c r="G34" cm="1">
        <f t="array" ref="G34">_xlfn.IFS(
D34&gt;=_xlfn.PERCENTILE.INC($D$2:$D$246,0.8),5,
D34&gt;=_xlfn.PERCENTILE.INC($D$2:$D$246,0.6),4,
D34&gt;=_xlfn.PERCENTILE.INC($D$2:$D$246,0.4),3,
D34&gt;=_xlfn.PERCENTILE.INC($D$2:$D$246,0.2),2,
TRUE,1
)</f>
        <v>1</v>
      </c>
      <c r="H34">
        <f t="shared" si="0"/>
        <v>5</v>
      </c>
      <c r="I34" t="str" cm="1">
        <f t="array" ref="I34">_xlfn.IFS(H34&gt;=13,"Best Customers",H34&gt;=10,"Loyal Customers",H34&gt;=7,"Potential Loyal Customers",H34&gt;=4,"Need Attention",TRUE,"At Risk")</f>
        <v>Need Attention</v>
      </c>
    </row>
    <row r="35" spans="1:9" x14ac:dyDescent="0.25">
      <c r="A35" t="s">
        <v>31</v>
      </c>
      <c r="B35" s="5">
        <v>90</v>
      </c>
      <c r="C35" s="5">
        <v>5</v>
      </c>
      <c r="D35" s="2">
        <v>25672.780000000002</v>
      </c>
      <c r="E35" cm="1">
        <f t="array" ref="E35">_xlfn.IFS(
B35&lt;=_xlfn.PERCENTILE.INC($B$2:$B$246,0.2),5,
B35&lt;=_xlfn.PERCENTILE.INC($B$2:$B$246,0.4),4,
B35&lt;=_xlfn.PERCENTILE.INC($B$2:$B$246,0.6),3,
B35&lt;=_xlfn.PERCENTILE.INC($B$2:$B$246,0.8),2,
TRUE,1
)</f>
        <v>4</v>
      </c>
      <c r="F35" cm="1">
        <f t="array" ref="F35">_xlfn.IFS(
C35&gt;=_xlfn.PERCENTILE.INC($C$2:$C$246,0.8),5,
C35&gt;=_xlfn.PERCENTILE.INC($C$2:$C$246,0.6),4,
C35&gt;=_xlfn.PERCENTILE.INC($C$2:$C$246,0.4),3,
C35&gt;=_xlfn.PERCENTILE.INC($C$2:$C$246,0.2),2,
TRUE,1
)</f>
        <v>4</v>
      </c>
      <c r="G35" cm="1">
        <f t="array" ref="G35">_xlfn.IFS(
D35&gt;=_xlfn.PERCENTILE.INC($D$2:$D$246,0.8),5,
D35&gt;=_xlfn.PERCENTILE.INC($D$2:$D$246,0.6),4,
D35&gt;=_xlfn.PERCENTILE.INC($D$2:$D$246,0.4),3,
D35&gt;=_xlfn.PERCENTILE.INC($D$2:$D$246,0.2),2,
TRUE,1
)</f>
        <v>4</v>
      </c>
      <c r="H35">
        <f t="shared" si="0"/>
        <v>12</v>
      </c>
      <c r="I35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 x14ac:dyDescent="0.25">
      <c r="A36" t="s">
        <v>542</v>
      </c>
      <c r="B36" s="5">
        <v>250</v>
      </c>
      <c r="C36" s="5">
        <v>7</v>
      </c>
      <c r="D36" s="2">
        <v>37355.460000000006</v>
      </c>
      <c r="E36" cm="1">
        <f t="array" ref="E36">_xlfn.IFS(
B36&lt;=_xlfn.PERCENTILE.INC($B$2:$B$246,0.2),5,
B36&lt;=_xlfn.PERCENTILE.INC($B$2:$B$246,0.4),4,
B36&lt;=_xlfn.PERCENTILE.INC($B$2:$B$246,0.6),3,
B36&lt;=_xlfn.PERCENTILE.INC($B$2:$B$246,0.8),2,
TRUE,1
)</f>
        <v>2</v>
      </c>
      <c r="F36" cm="1">
        <f t="array" ref="F36">_xlfn.IFS(
C36&gt;=_xlfn.PERCENTILE.INC($C$2:$C$246,0.8),5,
C36&gt;=_xlfn.PERCENTILE.INC($C$2:$C$246,0.6),4,
C36&gt;=_xlfn.PERCENTILE.INC($C$2:$C$246,0.4),3,
C36&gt;=_xlfn.PERCENTILE.INC($C$2:$C$246,0.2),2,
TRUE,1
)</f>
        <v>5</v>
      </c>
      <c r="G36" cm="1">
        <f t="array" ref="G36">_xlfn.IFS(
D36&gt;=_xlfn.PERCENTILE.INC($D$2:$D$246,0.8),5,
D36&gt;=_xlfn.PERCENTILE.INC($D$2:$D$246,0.6),4,
D36&gt;=_xlfn.PERCENTILE.INC($D$2:$D$246,0.4),3,
D36&gt;=_xlfn.PERCENTILE.INC($D$2:$D$246,0.2),2,
TRUE,1
)</f>
        <v>5</v>
      </c>
      <c r="H36">
        <f t="shared" si="0"/>
        <v>12</v>
      </c>
      <c r="I36" t="str" cm="1">
        <f t="array" ref="I36">_xlfn.IFS(H36&gt;=13,"Best Customers",H36&gt;=10,"Loyal Customers",H36&gt;=7,"Potential Loyal Customers",H36&gt;=4,"Need Attention",TRUE,"At Risk")</f>
        <v>Loyal Customers</v>
      </c>
    </row>
    <row r="37" spans="1:9" x14ac:dyDescent="0.25">
      <c r="A37" t="s">
        <v>29</v>
      </c>
      <c r="B37" s="5">
        <v>130</v>
      </c>
      <c r="C37" s="5">
        <v>9</v>
      </c>
      <c r="D37" s="2">
        <v>54955.4</v>
      </c>
      <c r="E37" cm="1">
        <f t="array" ref="E37">_xlfn.IFS(
B37&lt;=_xlfn.PERCENTILE.INC($B$2:$B$246,0.2),5,
B37&lt;=_xlfn.PERCENTILE.INC($B$2:$B$246,0.4),4,
B37&lt;=_xlfn.PERCENTILE.INC($B$2:$B$246,0.6),3,
B37&lt;=_xlfn.PERCENTILE.INC($B$2:$B$246,0.8),2,
TRUE,1
)</f>
        <v>3</v>
      </c>
      <c r="F37" cm="1">
        <f t="array" ref="F37">_xlfn.IFS(
C37&gt;=_xlfn.PERCENTILE.INC($C$2:$C$246,0.8),5,
C37&gt;=_xlfn.PERCENTILE.INC($C$2:$C$246,0.6),4,
C37&gt;=_xlfn.PERCENTILE.INC($C$2:$C$246,0.4),3,
C37&gt;=_xlfn.PERCENTILE.INC($C$2:$C$246,0.2),2,
TRUE,1
)</f>
        <v>5</v>
      </c>
      <c r="G37" cm="1">
        <f t="array" ref="G37">_xlfn.IFS(
D37&gt;=_xlfn.PERCENTILE.INC($D$2:$D$246,0.8),5,
D37&gt;=_xlfn.PERCENTILE.INC($D$2:$D$246,0.6),4,
D37&gt;=_xlfn.PERCENTILE.INC($D$2:$D$246,0.4),3,
D37&gt;=_xlfn.PERCENTILE.INC($D$2:$D$246,0.2),2,
TRUE,1
)</f>
        <v>5</v>
      </c>
      <c r="H37">
        <f t="shared" si="0"/>
        <v>13</v>
      </c>
      <c r="I37" t="str" cm="1">
        <f t="array" ref="I37">_xlfn.IFS(H37&gt;=13,"Best Customers",H37&gt;=10,"Loyal Customers",H37&gt;=7,"Potential Loyal Customers",H37&gt;=4,"Need Attention",TRUE,"At Risk")</f>
        <v>Best Customers</v>
      </c>
    </row>
    <row r="38" spans="1:9" x14ac:dyDescent="0.25">
      <c r="A38" t="s">
        <v>62</v>
      </c>
      <c r="B38" s="5">
        <v>15</v>
      </c>
      <c r="C38" s="5">
        <v>4</v>
      </c>
      <c r="D38" s="2">
        <v>18100.29</v>
      </c>
      <c r="E38" cm="1">
        <f t="array" ref="E38">_xlfn.IFS(
B38&lt;=_xlfn.PERCENTILE.INC($B$2:$B$246,0.2),5,
B38&lt;=_xlfn.PERCENTILE.INC($B$2:$B$246,0.4),4,
B38&lt;=_xlfn.PERCENTILE.INC($B$2:$B$246,0.6),3,
B38&lt;=_xlfn.PERCENTILE.INC($B$2:$B$246,0.8),2,
TRUE,1
)</f>
        <v>5</v>
      </c>
      <c r="F38" cm="1">
        <f t="array" ref="F38">_xlfn.IFS(
C38&gt;=_xlfn.PERCENTILE.INC($C$2:$C$246,0.8),5,
C38&gt;=_xlfn.PERCENTILE.INC($C$2:$C$246,0.6),4,
C38&gt;=_xlfn.PERCENTILE.INC($C$2:$C$246,0.4),3,
C38&gt;=_xlfn.PERCENTILE.INC($C$2:$C$246,0.2),2,
TRUE,1
)</f>
        <v>3</v>
      </c>
      <c r="G38" cm="1">
        <f t="array" ref="G38">_xlfn.IFS(
D38&gt;=_xlfn.PERCENTILE.INC($D$2:$D$246,0.8),5,
D38&gt;=_xlfn.PERCENTILE.INC($D$2:$D$246,0.6),4,
D38&gt;=_xlfn.PERCENTILE.INC($D$2:$D$246,0.4),3,
D38&gt;=_xlfn.PERCENTILE.INC($D$2:$D$246,0.2),2,
TRUE,1
)</f>
        <v>3</v>
      </c>
      <c r="H38">
        <f t="shared" si="0"/>
        <v>11</v>
      </c>
      <c r="I38" t="str" cm="1">
        <f t="array" ref="I38">_xlfn.IFS(H38&gt;=13,"Best Customers",H38&gt;=10,"Loyal Customers",H38&gt;=7,"Potential Loyal Customers",H38&gt;=4,"Need Attention",TRUE,"At Risk")</f>
        <v>Loyal Customers</v>
      </c>
    </row>
    <row r="39" spans="1:9" x14ac:dyDescent="0.25">
      <c r="A39" t="s">
        <v>443</v>
      </c>
      <c r="B39" s="5">
        <v>225</v>
      </c>
      <c r="C39" s="5">
        <v>3</v>
      </c>
      <c r="D39" s="2">
        <v>17957.519999999997</v>
      </c>
      <c r="E39" cm="1">
        <f t="array" ref="E39">_xlfn.IFS(
B39&lt;=_xlfn.PERCENTILE.INC($B$2:$B$246,0.2),5,
B39&lt;=_xlfn.PERCENTILE.INC($B$2:$B$246,0.4),4,
B39&lt;=_xlfn.PERCENTILE.INC($B$2:$B$246,0.6),3,
B39&lt;=_xlfn.PERCENTILE.INC($B$2:$B$246,0.8),2,
TRUE,1
)</f>
        <v>2</v>
      </c>
      <c r="F39" cm="1">
        <f t="array" ref="F39">_xlfn.IFS(
C39&gt;=_xlfn.PERCENTILE.INC($C$2:$C$246,0.8),5,
C39&gt;=_xlfn.PERCENTILE.INC($C$2:$C$246,0.6),4,
C39&gt;=_xlfn.PERCENTILE.INC($C$2:$C$246,0.4),3,
C39&gt;=_xlfn.PERCENTILE.INC($C$2:$C$246,0.2),2,
TRUE,1
)</f>
        <v>3</v>
      </c>
      <c r="G39" cm="1">
        <f t="array" ref="G39">_xlfn.IFS(
D39&gt;=_xlfn.PERCENTILE.INC($D$2:$D$246,0.8),5,
D39&gt;=_xlfn.PERCENTILE.INC($D$2:$D$246,0.6),4,
D39&gt;=_xlfn.PERCENTILE.INC($D$2:$D$246,0.4),3,
D39&gt;=_xlfn.PERCENTILE.INC($D$2:$D$246,0.2),2,
TRUE,1
)</f>
        <v>3</v>
      </c>
      <c r="H39">
        <f t="shared" si="0"/>
        <v>8</v>
      </c>
      <c r="I39" t="str" cm="1">
        <f t="array" ref="I39">_xlfn.IFS(H39&gt;=13,"Best Customers",H39&gt;=10,"Loyal Customers",H39&gt;=7,"Potential Loyal Customers",H39&gt;=4,"Need Attention",TRUE,"At Risk")</f>
        <v>Potential Loyal Customers</v>
      </c>
    </row>
    <row r="40" spans="1:9" x14ac:dyDescent="0.25">
      <c r="A40" t="s">
        <v>306</v>
      </c>
      <c r="B40" s="5">
        <v>143</v>
      </c>
      <c r="C40" s="5">
        <v>4</v>
      </c>
      <c r="D40" s="2">
        <v>22915.710000000003</v>
      </c>
      <c r="E40" cm="1">
        <f t="array" ref="E40">_xlfn.IFS(
B40&lt;=_xlfn.PERCENTILE.INC($B$2:$B$246,0.2),5,
B40&lt;=_xlfn.PERCENTILE.INC($B$2:$B$246,0.4),4,
B40&lt;=_xlfn.PERCENTILE.INC($B$2:$B$246,0.6),3,
B40&lt;=_xlfn.PERCENTILE.INC($B$2:$B$246,0.8),2,
TRUE,1
)</f>
        <v>3</v>
      </c>
      <c r="F40" cm="1">
        <f t="array" ref="F40">_xlfn.IFS(
C40&gt;=_xlfn.PERCENTILE.INC($C$2:$C$246,0.8),5,
C40&gt;=_xlfn.PERCENTILE.INC($C$2:$C$246,0.6),4,
C40&gt;=_xlfn.PERCENTILE.INC($C$2:$C$246,0.4),3,
C40&gt;=_xlfn.PERCENTILE.INC($C$2:$C$246,0.2),2,
TRUE,1
)</f>
        <v>3</v>
      </c>
      <c r="G40" cm="1">
        <f t="array" ref="G40">_xlfn.IFS(
D40&gt;=_xlfn.PERCENTILE.INC($D$2:$D$246,0.8),5,
D40&gt;=_xlfn.PERCENTILE.INC($D$2:$D$246,0.6),4,
D40&gt;=_xlfn.PERCENTILE.INC($D$2:$D$246,0.4),3,
D40&gt;=_xlfn.PERCENTILE.INC($D$2:$D$246,0.2),2,
TRUE,1
)</f>
        <v>4</v>
      </c>
      <c r="H40">
        <f t="shared" si="0"/>
        <v>10</v>
      </c>
      <c r="I40" t="str" cm="1">
        <f t="array" ref="I40">_xlfn.IFS(H40&gt;=13,"Best Customers",H40&gt;=10,"Loyal Customers",H40&gt;=7,"Potential Loyal Customers",H40&gt;=4,"Need Attention",TRUE,"At Risk")</f>
        <v>Loyal Customers</v>
      </c>
    </row>
    <row r="41" spans="1:9" x14ac:dyDescent="0.25">
      <c r="A41" t="s">
        <v>692</v>
      </c>
      <c r="B41" s="5">
        <v>281</v>
      </c>
      <c r="C41" s="5">
        <v>5</v>
      </c>
      <c r="D41" s="2">
        <v>25990.339999999997</v>
      </c>
      <c r="E41" cm="1">
        <f t="array" ref="E41">_xlfn.IFS(
B41&lt;=_xlfn.PERCENTILE.INC($B$2:$B$246,0.2),5,
B41&lt;=_xlfn.PERCENTILE.INC($B$2:$B$246,0.4),4,
B41&lt;=_xlfn.PERCENTILE.INC($B$2:$B$246,0.6),3,
B41&lt;=_xlfn.PERCENTILE.INC($B$2:$B$246,0.8),2,
TRUE,1
)</f>
        <v>1</v>
      </c>
      <c r="F41" cm="1">
        <f t="array" ref="F41">_xlfn.IFS(
C41&gt;=_xlfn.PERCENTILE.INC($C$2:$C$246,0.8),5,
C41&gt;=_xlfn.PERCENTILE.INC($C$2:$C$246,0.6),4,
C41&gt;=_xlfn.PERCENTILE.INC($C$2:$C$246,0.4),3,
C41&gt;=_xlfn.PERCENTILE.INC($C$2:$C$246,0.2),2,
TRUE,1
)</f>
        <v>4</v>
      </c>
      <c r="G41" cm="1">
        <f t="array" ref="G41">_xlfn.IFS(
D41&gt;=_xlfn.PERCENTILE.INC($D$2:$D$246,0.8),5,
D41&gt;=_xlfn.PERCENTILE.INC($D$2:$D$246,0.6),4,
D41&gt;=_xlfn.PERCENTILE.INC($D$2:$D$246,0.4),3,
D41&gt;=_xlfn.PERCENTILE.INC($D$2:$D$246,0.2),2,
TRUE,1
)</f>
        <v>4</v>
      </c>
      <c r="H41">
        <f t="shared" si="0"/>
        <v>9</v>
      </c>
      <c r="I41" t="str" cm="1">
        <f t="array" ref="I41">_xlfn.IFS(H41&gt;=13,"Best Customers",H41&gt;=10,"Loyal Customers",H41&gt;=7,"Potential Loyal Customers",H41&gt;=4,"Need Attention",TRUE,"At Risk")</f>
        <v>Potential Loyal Customers</v>
      </c>
    </row>
    <row r="42" spans="1:9" x14ac:dyDescent="0.25">
      <c r="A42" t="s">
        <v>156</v>
      </c>
      <c r="B42" s="5">
        <v>333</v>
      </c>
      <c r="C42" s="5">
        <v>5</v>
      </c>
      <c r="D42" s="2">
        <v>10039.279999999999</v>
      </c>
      <c r="E42" cm="1">
        <f t="array" ref="E42">_xlfn.IFS(
B42&lt;=_xlfn.PERCENTILE.INC($B$2:$B$246,0.2),5,
B42&lt;=_xlfn.PERCENTILE.INC($B$2:$B$246,0.4),4,
B42&lt;=_xlfn.PERCENTILE.INC($B$2:$B$246,0.6),3,
B42&lt;=_xlfn.PERCENTILE.INC($B$2:$B$246,0.8),2,
TRUE,1
)</f>
        <v>1</v>
      </c>
      <c r="F42" cm="1">
        <f t="array" ref="F42">_xlfn.IFS(
C42&gt;=_xlfn.PERCENTILE.INC($C$2:$C$246,0.8),5,
C42&gt;=_xlfn.PERCENTILE.INC($C$2:$C$246,0.6),4,
C42&gt;=_xlfn.PERCENTILE.INC($C$2:$C$246,0.4),3,
C42&gt;=_xlfn.PERCENTILE.INC($C$2:$C$246,0.2),2,
TRUE,1
)</f>
        <v>4</v>
      </c>
      <c r="G42" cm="1">
        <f t="array" ref="G42">_xlfn.IFS(
D42&gt;=_xlfn.PERCENTILE.INC($D$2:$D$246,0.8),5,
D42&gt;=_xlfn.PERCENTILE.INC($D$2:$D$246,0.6),4,
D42&gt;=_xlfn.PERCENTILE.INC($D$2:$D$246,0.4),3,
D42&gt;=_xlfn.PERCENTILE.INC($D$2:$D$246,0.2),2,
TRUE,1
)</f>
        <v>1</v>
      </c>
      <c r="H42">
        <f t="shared" si="0"/>
        <v>6</v>
      </c>
      <c r="I42" t="str" cm="1">
        <f t="array" ref="I42">_xlfn.IFS(H42&gt;=13,"Best Customers",H42&gt;=10,"Loyal Customers",H42&gt;=7,"Potential Loyal Customers",H42&gt;=4,"Need Attention",TRUE,"At Risk")</f>
        <v>Need Attention</v>
      </c>
    </row>
    <row r="43" spans="1:9" x14ac:dyDescent="0.25">
      <c r="A43" t="s">
        <v>430</v>
      </c>
      <c r="B43" s="5">
        <v>87</v>
      </c>
      <c r="C43" s="5">
        <v>2</v>
      </c>
      <c r="D43" s="2">
        <v>7846.92</v>
      </c>
      <c r="E43" cm="1">
        <f t="array" ref="E43">_xlfn.IFS(
B43&lt;=_xlfn.PERCENTILE.INC($B$2:$B$246,0.2),5,
B43&lt;=_xlfn.PERCENTILE.INC($B$2:$B$246,0.4),4,
B43&lt;=_xlfn.PERCENTILE.INC($B$2:$B$246,0.6),3,
B43&lt;=_xlfn.PERCENTILE.INC($B$2:$B$246,0.8),2,
TRUE,1
)</f>
        <v>4</v>
      </c>
      <c r="F43" cm="1">
        <f t="array" ref="F43">_xlfn.IFS(
C43&gt;=_xlfn.PERCENTILE.INC($C$2:$C$246,0.8),5,
C43&gt;=_xlfn.PERCENTILE.INC($C$2:$C$246,0.6),4,
C43&gt;=_xlfn.PERCENTILE.INC($C$2:$C$246,0.4),3,
C43&gt;=_xlfn.PERCENTILE.INC($C$2:$C$246,0.2),2,
TRUE,1
)</f>
        <v>2</v>
      </c>
      <c r="G43" cm="1">
        <f t="array" ref="G43">_xlfn.IFS(
D43&gt;=_xlfn.PERCENTILE.INC($D$2:$D$246,0.8),5,
D43&gt;=_xlfn.PERCENTILE.INC($D$2:$D$246,0.6),4,
D43&gt;=_xlfn.PERCENTILE.INC($D$2:$D$246,0.4),3,
D43&gt;=_xlfn.PERCENTILE.INC($D$2:$D$246,0.2),2,
TRUE,1
)</f>
        <v>1</v>
      </c>
      <c r="H43">
        <f t="shared" si="0"/>
        <v>7</v>
      </c>
      <c r="I43" t="str" cm="1">
        <f t="array" ref="I43">_xlfn.IFS(H43&gt;=13,"Best Customers",H43&gt;=10,"Loyal Customers",H43&gt;=7,"Potential Loyal Customers",H43&gt;=4,"Need Attention",TRUE,"At Risk")</f>
        <v>Potential Loyal Customers</v>
      </c>
    </row>
    <row r="44" spans="1:9" x14ac:dyDescent="0.25">
      <c r="A44" t="s">
        <v>313</v>
      </c>
      <c r="B44" s="5">
        <v>58</v>
      </c>
      <c r="C44" s="5">
        <v>4</v>
      </c>
      <c r="D44" s="2">
        <v>25073.46</v>
      </c>
      <c r="E44" cm="1">
        <f t="array" ref="E44">_xlfn.IFS(
B44&lt;=_xlfn.PERCENTILE.INC($B$2:$B$246,0.2),5,
B44&lt;=_xlfn.PERCENTILE.INC($B$2:$B$246,0.4),4,
B44&lt;=_xlfn.PERCENTILE.INC($B$2:$B$246,0.6),3,
B44&lt;=_xlfn.PERCENTILE.INC($B$2:$B$246,0.8),2,
TRUE,1
)</f>
        <v>4</v>
      </c>
      <c r="F44" cm="1">
        <f t="array" ref="F44">_xlfn.IFS(
C44&gt;=_xlfn.PERCENTILE.INC($C$2:$C$246,0.8),5,
C44&gt;=_xlfn.PERCENTILE.INC($C$2:$C$246,0.6),4,
C44&gt;=_xlfn.PERCENTILE.INC($C$2:$C$246,0.4),3,
C44&gt;=_xlfn.PERCENTILE.INC($C$2:$C$246,0.2),2,
TRUE,1
)</f>
        <v>3</v>
      </c>
      <c r="G44" cm="1">
        <f t="array" ref="G44">_xlfn.IFS(
D44&gt;=_xlfn.PERCENTILE.INC($D$2:$D$246,0.8),5,
D44&gt;=_xlfn.PERCENTILE.INC($D$2:$D$246,0.6),4,
D44&gt;=_xlfn.PERCENTILE.INC($D$2:$D$246,0.4),3,
D44&gt;=_xlfn.PERCENTILE.INC($D$2:$D$246,0.2),2,
TRUE,1
)</f>
        <v>4</v>
      </c>
      <c r="H44">
        <f t="shared" si="0"/>
        <v>11</v>
      </c>
      <c r="I44" t="str" cm="1">
        <f t="array" ref="I44">_xlfn.IFS(H44&gt;=13,"Best Customers",H44&gt;=10,"Loyal Customers",H44&gt;=7,"Potential Loyal Customers",H44&gt;=4,"Need Attention",TRUE,"At Risk")</f>
        <v>Loyal Customers</v>
      </c>
    </row>
    <row r="45" spans="1:9" x14ac:dyDescent="0.25">
      <c r="A45" t="s">
        <v>324</v>
      </c>
      <c r="B45" s="5">
        <v>22</v>
      </c>
      <c r="C45" s="5">
        <v>11</v>
      </c>
      <c r="D45" s="2">
        <v>63453.25</v>
      </c>
      <c r="E45" cm="1">
        <f t="array" ref="E45">_xlfn.IFS(
B45&lt;=_xlfn.PERCENTILE.INC($B$2:$B$246,0.2),5,
B45&lt;=_xlfn.PERCENTILE.INC($B$2:$B$246,0.4),4,
B45&lt;=_xlfn.PERCENTILE.INC($B$2:$B$246,0.6),3,
B45&lt;=_xlfn.PERCENTILE.INC($B$2:$B$246,0.8),2,
TRUE,1
)</f>
        <v>5</v>
      </c>
      <c r="F45" cm="1">
        <f t="array" ref="F45">_xlfn.IFS(
C45&gt;=_xlfn.PERCENTILE.INC($C$2:$C$246,0.8),5,
C45&gt;=_xlfn.PERCENTILE.INC($C$2:$C$246,0.6),4,
C45&gt;=_xlfn.PERCENTILE.INC($C$2:$C$246,0.4),3,
C45&gt;=_xlfn.PERCENTILE.INC($C$2:$C$246,0.2),2,
TRUE,1
)</f>
        <v>5</v>
      </c>
      <c r="G45" cm="1">
        <f t="array" ref="G45">_xlfn.IFS(
D45&gt;=_xlfn.PERCENTILE.INC($D$2:$D$246,0.8),5,
D45&gt;=_xlfn.PERCENTILE.INC($D$2:$D$246,0.6),4,
D45&gt;=_xlfn.PERCENTILE.INC($D$2:$D$246,0.4),3,
D45&gt;=_xlfn.PERCENTILE.INC($D$2:$D$246,0.2),2,
TRUE,1
)</f>
        <v>5</v>
      </c>
      <c r="H45">
        <f t="shared" si="0"/>
        <v>15</v>
      </c>
      <c r="I45" t="str" cm="1">
        <f t="array" ref="I45">_xlfn.IFS(H45&gt;=13,"Best Customers",H45&gt;=10,"Loyal Customers",H45&gt;=7,"Potential Loyal Customers",H45&gt;=4,"Need Attention",TRUE,"At Risk")</f>
        <v>Best Customers</v>
      </c>
    </row>
    <row r="46" spans="1:9" x14ac:dyDescent="0.25">
      <c r="A46" t="s">
        <v>172</v>
      </c>
      <c r="B46" s="5">
        <v>38</v>
      </c>
      <c r="C46" s="5">
        <v>8</v>
      </c>
      <c r="D46" s="2">
        <v>37863.629999999997</v>
      </c>
      <c r="E46" cm="1">
        <f t="array" ref="E46">_xlfn.IFS(
B46&lt;=_xlfn.PERCENTILE.INC($B$2:$B$246,0.2),5,
B46&lt;=_xlfn.PERCENTILE.INC($B$2:$B$246,0.4),4,
B46&lt;=_xlfn.PERCENTILE.INC($B$2:$B$246,0.6),3,
B46&lt;=_xlfn.PERCENTILE.INC($B$2:$B$246,0.8),2,
TRUE,1
)</f>
        <v>5</v>
      </c>
      <c r="F46" cm="1">
        <f t="array" ref="F46">_xlfn.IFS(
C46&gt;=_xlfn.PERCENTILE.INC($C$2:$C$246,0.8),5,
C46&gt;=_xlfn.PERCENTILE.INC($C$2:$C$246,0.6),4,
C46&gt;=_xlfn.PERCENTILE.INC($C$2:$C$246,0.4),3,
C46&gt;=_xlfn.PERCENTILE.INC($C$2:$C$246,0.2),2,
TRUE,1
)</f>
        <v>5</v>
      </c>
      <c r="G46" cm="1">
        <f t="array" ref="G46">_xlfn.IFS(
D46&gt;=_xlfn.PERCENTILE.INC($D$2:$D$246,0.8),5,
D46&gt;=_xlfn.PERCENTILE.INC($D$2:$D$246,0.6),4,
D46&gt;=_xlfn.PERCENTILE.INC($D$2:$D$246,0.4),3,
D46&gt;=_xlfn.PERCENTILE.INC($D$2:$D$246,0.2),2,
TRUE,1
)</f>
        <v>5</v>
      </c>
      <c r="H46">
        <f t="shared" si="0"/>
        <v>15</v>
      </c>
      <c r="I46" t="str" cm="1">
        <f t="array" ref="I46">_xlfn.IFS(H46&gt;=13,"Best Customers",H46&gt;=10,"Loyal Customers",H46&gt;=7,"Potential Loyal Customers",H46&gt;=4,"Need Attention",TRUE,"At Risk")</f>
        <v>Best Customers</v>
      </c>
    </row>
    <row r="47" spans="1:9" x14ac:dyDescent="0.25">
      <c r="A47" t="s">
        <v>511</v>
      </c>
      <c r="B47" s="5">
        <v>26</v>
      </c>
      <c r="C47" s="5">
        <v>4</v>
      </c>
      <c r="D47" s="2">
        <v>13435.27</v>
      </c>
      <c r="E47" cm="1">
        <f t="array" ref="E47">_xlfn.IFS(
B47&lt;=_xlfn.PERCENTILE.INC($B$2:$B$246,0.2),5,
B47&lt;=_xlfn.PERCENTILE.INC($B$2:$B$246,0.4),4,
B47&lt;=_xlfn.PERCENTILE.INC($B$2:$B$246,0.6),3,
B47&lt;=_xlfn.PERCENTILE.INC($B$2:$B$246,0.8),2,
TRUE,1
)</f>
        <v>5</v>
      </c>
      <c r="F47" cm="1">
        <f t="array" ref="F47">_xlfn.IFS(
C47&gt;=_xlfn.PERCENTILE.INC($C$2:$C$246,0.8),5,
C47&gt;=_xlfn.PERCENTILE.INC($C$2:$C$246,0.6),4,
C47&gt;=_xlfn.PERCENTILE.INC($C$2:$C$246,0.4),3,
C47&gt;=_xlfn.PERCENTILE.INC($C$2:$C$246,0.2),2,
TRUE,1
)</f>
        <v>3</v>
      </c>
      <c r="G47" cm="1">
        <f t="array" ref="G47">_xlfn.IFS(
D47&gt;=_xlfn.PERCENTILE.INC($D$2:$D$246,0.8),5,
D47&gt;=_xlfn.PERCENTILE.INC($D$2:$D$246,0.6),4,
D47&gt;=_xlfn.PERCENTILE.INC($D$2:$D$246,0.4),3,
D47&gt;=_xlfn.PERCENTILE.INC($D$2:$D$246,0.2),2,
TRUE,1
)</f>
        <v>2</v>
      </c>
      <c r="H47">
        <f t="shared" si="0"/>
        <v>10</v>
      </c>
      <c r="I47" t="str" cm="1">
        <f t="array" ref="I47">_xlfn.IFS(H47&gt;=13,"Best Customers",H47&gt;=10,"Loyal Customers",H47&gt;=7,"Potential Loyal Customers",H47&gt;=4,"Need Attention",TRUE,"At Risk")</f>
        <v>Loyal Customers</v>
      </c>
    </row>
    <row r="48" spans="1:9" x14ac:dyDescent="0.25">
      <c r="A48" t="s">
        <v>293</v>
      </c>
      <c r="B48" s="5">
        <v>122</v>
      </c>
      <c r="C48" s="5">
        <v>5</v>
      </c>
      <c r="D48" s="2">
        <v>18920.43</v>
      </c>
      <c r="E48" cm="1">
        <f t="array" ref="E48">_xlfn.IFS(
B48&lt;=_xlfn.PERCENTILE.INC($B$2:$B$246,0.2),5,
B48&lt;=_xlfn.PERCENTILE.INC($B$2:$B$246,0.4),4,
B48&lt;=_xlfn.PERCENTILE.INC($B$2:$B$246,0.6),3,
B48&lt;=_xlfn.PERCENTILE.INC($B$2:$B$246,0.8),2,
TRUE,1
)</f>
        <v>3</v>
      </c>
      <c r="F48" cm="1">
        <f t="array" ref="F48">_xlfn.IFS(
C48&gt;=_xlfn.PERCENTILE.INC($C$2:$C$246,0.8),5,
C48&gt;=_xlfn.PERCENTILE.INC($C$2:$C$246,0.6),4,
C48&gt;=_xlfn.PERCENTILE.INC($C$2:$C$246,0.4),3,
C48&gt;=_xlfn.PERCENTILE.INC($C$2:$C$246,0.2),2,
TRUE,1
)</f>
        <v>4</v>
      </c>
      <c r="G48" cm="1">
        <f t="array" ref="G48">_xlfn.IFS(
D48&gt;=_xlfn.PERCENTILE.INC($D$2:$D$246,0.8),5,
D48&gt;=_xlfn.PERCENTILE.INC($D$2:$D$246,0.6),4,
D48&gt;=_xlfn.PERCENTILE.INC($D$2:$D$246,0.4),3,
D48&gt;=_xlfn.PERCENTILE.INC($D$2:$D$246,0.2),2,
TRUE,1
)</f>
        <v>3</v>
      </c>
      <c r="H48">
        <f t="shared" si="0"/>
        <v>10</v>
      </c>
      <c r="I48" t="str" cm="1">
        <f t="array" ref="I48">_xlfn.IFS(H48&gt;=13,"Best Customers",H48&gt;=10,"Loyal Customers",H48&gt;=7,"Potential Loyal Customers",H48&gt;=4,"Need Attention",TRUE,"At Risk")</f>
        <v>Loyal Customers</v>
      </c>
    </row>
    <row r="49" spans="1:9" x14ac:dyDescent="0.25">
      <c r="A49" t="s">
        <v>122</v>
      </c>
      <c r="B49" s="5">
        <v>25</v>
      </c>
      <c r="C49" s="5">
        <v>4</v>
      </c>
      <c r="D49" s="2">
        <v>11647.74</v>
      </c>
      <c r="E49" cm="1">
        <f t="array" ref="E49">_xlfn.IFS(
B49&lt;=_xlfn.PERCENTILE.INC($B$2:$B$246,0.2),5,
B49&lt;=_xlfn.PERCENTILE.INC($B$2:$B$246,0.4),4,
B49&lt;=_xlfn.PERCENTILE.INC($B$2:$B$246,0.6),3,
B49&lt;=_xlfn.PERCENTILE.INC($B$2:$B$246,0.8),2,
TRUE,1
)</f>
        <v>5</v>
      </c>
      <c r="F49" cm="1">
        <f t="array" ref="F49">_xlfn.IFS(
C49&gt;=_xlfn.PERCENTILE.INC($C$2:$C$246,0.8),5,
C49&gt;=_xlfn.PERCENTILE.INC($C$2:$C$246,0.6),4,
C49&gt;=_xlfn.PERCENTILE.INC($C$2:$C$246,0.4),3,
C49&gt;=_xlfn.PERCENTILE.INC($C$2:$C$246,0.2),2,
TRUE,1
)</f>
        <v>3</v>
      </c>
      <c r="G49" cm="1">
        <f t="array" ref="G49">_xlfn.IFS(
D49&gt;=_xlfn.PERCENTILE.INC($D$2:$D$246,0.8),5,
D49&gt;=_xlfn.PERCENTILE.INC($D$2:$D$246,0.6),4,
D49&gt;=_xlfn.PERCENTILE.INC($D$2:$D$246,0.4),3,
D49&gt;=_xlfn.PERCENTILE.INC($D$2:$D$246,0.2),2,
TRUE,1
)</f>
        <v>2</v>
      </c>
      <c r="H49">
        <f t="shared" si="0"/>
        <v>10</v>
      </c>
      <c r="I49" t="str" cm="1">
        <f t="array" ref="I49">_xlfn.IFS(H49&gt;=13,"Best Customers",H49&gt;=10,"Loyal Customers",H49&gt;=7,"Potential Loyal Customers",H49&gt;=4,"Need Attention",TRUE,"At Risk")</f>
        <v>Loyal Customers</v>
      </c>
    </row>
    <row r="50" spans="1:9" x14ac:dyDescent="0.25">
      <c r="A50" t="s">
        <v>38</v>
      </c>
      <c r="B50" s="5">
        <v>123</v>
      </c>
      <c r="C50" s="5">
        <v>5</v>
      </c>
      <c r="D50" s="2">
        <v>26958.43</v>
      </c>
      <c r="E50" cm="1">
        <f t="array" ref="E50">_xlfn.IFS(
B50&lt;=_xlfn.PERCENTILE.INC($B$2:$B$246,0.2),5,
B50&lt;=_xlfn.PERCENTILE.INC($B$2:$B$246,0.4),4,
B50&lt;=_xlfn.PERCENTILE.INC($B$2:$B$246,0.6),3,
B50&lt;=_xlfn.PERCENTILE.INC($B$2:$B$246,0.8),2,
TRUE,1
)</f>
        <v>3</v>
      </c>
      <c r="F50" cm="1">
        <f t="array" ref="F50">_xlfn.IFS(
C50&gt;=_xlfn.PERCENTILE.INC($C$2:$C$246,0.8),5,
C50&gt;=_xlfn.PERCENTILE.INC($C$2:$C$246,0.6),4,
C50&gt;=_xlfn.PERCENTILE.INC($C$2:$C$246,0.4),3,
C50&gt;=_xlfn.PERCENTILE.INC($C$2:$C$246,0.2),2,
TRUE,1
)</f>
        <v>4</v>
      </c>
      <c r="G50" cm="1">
        <f t="array" ref="G50">_xlfn.IFS(
D50&gt;=_xlfn.PERCENTILE.INC($D$2:$D$246,0.8),5,
D50&gt;=_xlfn.PERCENTILE.INC($D$2:$D$246,0.6),4,
D50&gt;=_xlfn.PERCENTILE.INC($D$2:$D$246,0.4),3,
D50&gt;=_xlfn.PERCENTILE.INC($D$2:$D$246,0.2),2,
TRUE,1
)</f>
        <v>4</v>
      </c>
      <c r="H50">
        <f t="shared" si="0"/>
        <v>11</v>
      </c>
      <c r="I50" t="str" cm="1">
        <f t="array" ref="I50">_xlfn.IFS(H50&gt;=13,"Best Customers",H50&gt;=10,"Loyal Customers",H50&gt;=7,"Potential Loyal Customers",H50&gt;=4,"Need Attention",TRUE,"At Risk")</f>
        <v>Loyal Customers</v>
      </c>
    </row>
    <row r="51" spans="1:9" x14ac:dyDescent="0.25">
      <c r="A51" t="s">
        <v>44</v>
      </c>
      <c r="B51" s="5">
        <v>671</v>
      </c>
      <c r="C51" s="5">
        <v>2</v>
      </c>
      <c r="D51" s="2">
        <v>5083.22</v>
      </c>
      <c r="E51" cm="1">
        <f t="array" ref="E51">_xlfn.IFS(
B51&lt;=_xlfn.PERCENTILE.INC($B$2:$B$246,0.2),5,
B51&lt;=_xlfn.PERCENTILE.INC($B$2:$B$246,0.4),4,
B51&lt;=_xlfn.PERCENTILE.INC($B$2:$B$246,0.6),3,
B51&lt;=_xlfn.PERCENTILE.INC($B$2:$B$246,0.8),2,
TRUE,1
)</f>
        <v>1</v>
      </c>
      <c r="F51" cm="1">
        <f t="array" ref="F51">_xlfn.IFS(
C51&gt;=_xlfn.PERCENTILE.INC($C$2:$C$246,0.8),5,
C51&gt;=_xlfn.PERCENTILE.INC($C$2:$C$246,0.6),4,
C51&gt;=_xlfn.PERCENTILE.INC($C$2:$C$246,0.4),3,
C51&gt;=_xlfn.PERCENTILE.INC($C$2:$C$246,0.2),2,
TRUE,1
)</f>
        <v>2</v>
      </c>
      <c r="G51" cm="1">
        <f t="array" ref="G51">_xlfn.IFS(
D51&gt;=_xlfn.PERCENTILE.INC($D$2:$D$246,0.8),5,
D51&gt;=_xlfn.PERCENTILE.INC($D$2:$D$246,0.6),4,
D51&gt;=_xlfn.PERCENTILE.INC($D$2:$D$246,0.4),3,
D51&gt;=_xlfn.PERCENTILE.INC($D$2:$D$246,0.2),2,
TRUE,1
)</f>
        <v>1</v>
      </c>
      <c r="H51">
        <f t="shared" si="0"/>
        <v>4</v>
      </c>
      <c r="I51" t="str" cm="1">
        <f t="array" ref="I51">_xlfn.IFS(H51&gt;=13,"Best Customers",H51&gt;=10,"Loyal Customers",H51&gt;=7,"Potential Loyal Customers",H51&gt;=4,"Need Attention",TRUE,"At Risk")</f>
        <v>Need Attention</v>
      </c>
    </row>
    <row r="52" spans="1:9" x14ac:dyDescent="0.25">
      <c r="A52" t="s">
        <v>553</v>
      </c>
      <c r="B52" s="5">
        <v>220</v>
      </c>
      <c r="C52" s="5">
        <v>4</v>
      </c>
      <c r="D52" s="2">
        <v>10541.96</v>
      </c>
      <c r="E52" cm="1">
        <f t="array" ref="E52">_xlfn.IFS(
B52&lt;=_xlfn.PERCENTILE.INC($B$2:$B$246,0.2),5,
B52&lt;=_xlfn.PERCENTILE.INC($B$2:$B$246,0.4),4,
B52&lt;=_xlfn.PERCENTILE.INC($B$2:$B$246,0.6),3,
B52&lt;=_xlfn.PERCENTILE.INC($B$2:$B$246,0.8),2,
TRUE,1
)</f>
        <v>2</v>
      </c>
      <c r="F52" cm="1">
        <f t="array" ref="F52">_xlfn.IFS(
C52&gt;=_xlfn.PERCENTILE.INC($C$2:$C$246,0.8),5,
C52&gt;=_xlfn.PERCENTILE.INC($C$2:$C$246,0.6),4,
C52&gt;=_xlfn.PERCENTILE.INC($C$2:$C$246,0.4),3,
C52&gt;=_xlfn.PERCENTILE.INC($C$2:$C$246,0.2),2,
TRUE,1
)</f>
        <v>3</v>
      </c>
      <c r="G52" cm="1">
        <f t="array" ref="G52">_xlfn.IFS(
D52&gt;=_xlfn.PERCENTILE.INC($D$2:$D$246,0.8),5,
D52&gt;=_xlfn.PERCENTILE.INC($D$2:$D$246,0.6),4,
D52&gt;=_xlfn.PERCENTILE.INC($D$2:$D$246,0.4),3,
D52&gt;=_xlfn.PERCENTILE.INC($D$2:$D$246,0.2),2,
TRUE,1
)</f>
        <v>2</v>
      </c>
      <c r="H52">
        <f t="shared" si="0"/>
        <v>7</v>
      </c>
      <c r="I52" t="str" cm="1">
        <f t="array" ref="I52">_xlfn.IFS(H52&gt;=13,"Best Customers",H52&gt;=10,"Loyal Customers",H52&gt;=7,"Potential Loyal Customers",H52&gt;=4,"Need Attention",TRUE,"At Risk")</f>
        <v>Potential Loyal Customers</v>
      </c>
    </row>
    <row r="53" spans="1:9" x14ac:dyDescent="0.25">
      <c r="A53" t="s">
        <v>196</v>
      </c>
      <c r="B53" s="5">
        <v>172</v>
      </c>
      <c r="C53" s="5">
        <v>7</v>
      </c>
      <c r="D53" s="2">
        <v>38842.89</v>
      </c>
      <c r="E53" cm="1">
        <f t="array" ref="E53">_xlfn.IFS(
B53&lt;=_xlfn.PERCENTILE.INC($B$2:$B$246,0.2),5,
B53&lt;=_xlfn.PERCENTILE.INC($B$2:$B$246,0.4),4,
B53&lt;=_xlfn.PERCENTILE.INC($B$2:$B$246,0.6),3,
B53&lt;=_xlfn.PERCENTILE.INC($B$2:$B$246,0.8),2,
TRUE,1
)</f>
        <v>3</v>
      </c>
      <c r="F53" cm="1">
        <f t="array" ref="F53">_xlfn.IFS(
C53&gt;=_xlfn.PERCENTILE.INC($C$2:$C$246,0.8),5,
C53&gt;=_xlfn.PERCENTILE.INC($C$2:$C$246,0.6),4,
C53&gt;=_xlfn.PERCENTILE.INC($C$2:$C$246,0.4),3,
C53&gt;=_xlfn.PERCENTILE.INC($C$2:$C$246,0.2),2,
TRUE,1
)</f>
        <v>5</v>
      </c>
      <c r="G53" cm="1">
        <f t="array" ref="G53">_xlfn.IFS(
D53&gt;=_xlfn.PERCENTILE.INC($D$2:$D$246,0.8),5,
D53&gt;=_xlfn.PERCENTILE.INC($D$2:$D$246,0.6),4,
D53&gt;=_xlfn.PERCENTILE.INC($D$2:$D$246,0.4),3,
D53&gt;=_xlfn.PERCENTILE.INC($D$2:$D$246,0.2),2,
TRUE,1
)</f>
        <v>5</v>
      </c>
      <c r="H53">
        <f t="shared" si="0"/>
        <v>13</v>
      </c>
      <c r="I53" t="str" cm="1">
        <f t="array" ref="I53">_xlfn.IFS(H53&gt;=13,"Best Customers",H53&gt;=10,"Loyal Customers",H53&gt;=7,"Potential Loyal Customers",H53&gt;=4,"Need Attention",TRUE,"At Risk")</f>
        <v>Best Customers</v>
      </c>
    </row>
    <row r="54" spans="1:9" x14ac:dyDescent="0.25">
      <c r="A54" t="s">
        <v>253</v>
      </c>
      <c r="B54" s="5">
        <v>96</v>
      </c>
      <c r="C54" s="5">
        <v>4</v>
      </c>
      <c r="D54" s="2">
        <v>27495.25</v>
      </c>
      <c r="E54" cm="1">
        <f t="array" ref="E54">_xlfn.IFS(
B54&lt;=_xlfn.PERCENTILE.INC($B$2:$B$246,0.2),5,
B54&lt;=_xlfn.PERCENTILE.INC($B$2:$B$246,0.4),4,
B54&lt;=_xlfn.PERCENTILE.INC($B$2:$B$246,0.6),3,
B54&lt;=_xlfn.PERCENTILE.INC($B$2:$B$246,0.8),2,
TRUE,1
)</f>
        <v>3</v>
      </c>
      <c r="F54" cm="1">
        <f t="array" ref="F54">_xlfn.IFS(
C54&gt;=_xlfn.PERCENTILE.INC($C$2:$C$246,0.8),5,
C54&gt;=_xlfn.PERCENTILE.INC($C$2:$C$246,0.6),4,
C54&gt;=_xlfn.PERCENTILE.INC($C$2:$C$246,0.4),3,
C54&gt;=_xlfn.PERCENTILE.INC($C$2:$C$246,0.2),2,
TRUE,1
)</f>
        <v>3</v>
      </c>
      <c r="G54" cm="1">
        <f t="array" ref="G54">_xlfn.IFS(
D54&gt;=_xlfn.PERCENTILE.INC($D$2:$D$246,0.8),5,
D54&gt;=_xlfn.PERCENTILE.INC($D$2:$D$246,0.6),4,
D54&gt;=_xlfn.PERCENTILE.INC($D$2:$D$246,0.4),3,
D54&gt;=_xlfn.PERCENTILE.INC($D$2:$D$246,0.2),2,
TRUE,1
)</f>
        <v>4</v>
      </c>
      <c r="H54">
        <f t="shared" si="0"/>
        <v>10</v>
      </c>
      <c r="I54" t="str" cm="1">
        <f t="array" ref="I54">_xlfn.IFS(H54&gt;=13,"Best Customers",H54&gt;=10,"Loyal Customers",H54&gt;=7,"Potential Loyal Customers",H54&gt;=4,"Need Attention",TRUE,"At Risk")</f>
        <v>Loyal Customers</v>
      </c>
    </row>
    <row r="55" spans="1:9" x14ac:dyDescent="0.25">
      <c r="A55" t="s">
        <v>964</v>
      </c>
      <c r="B55" s="5">
        <v>99</v>
      </c>
      <c r="C55" s="5">
        <v>4</v>
      </c>
      <c r="D55" s="2">
        <v>14444.490000000002</v>
      </c>
      <c r="E55" cm="1">
        <f t="array" ref="E55">_xlfn.IFS(
B55&lt;=_xlfn.PERCENTILE.INC($B$2:$B$246,0.2),5,
B55&lt;=_xlfn.PERCENTILE.INC($B$2:$B$246,0.4),4,
B55&lt;=_xlfn.PERCENTILE.INC($B$2:$B$246,0.6),3,
B55&lt;=_xlfn.PERCENTILE.INC($B$2:$B$246,0.8),2,
TRUE,1
)</f>
        <v>3</v>
      </c>
      <c r="F55" cm="1">
        <f t="array" ref="F55">_xlfn.IFS(
C55&gt;=_xlfn.PERCENTILE.INC($C$2:$C$246,0.8),5,
C55&gt;=_xlfn.PERCENTILE.INC($C$2:$C$246,0.6),4,
C55&gt;=_xlfn.PERCENTILE.INC($C$2:$C$246,0.4),3,
C55&gt;=_xlfn.PERCENTILE.INC($C$2:$C$246,0.2),2,
TRUE,1
)</f>
        <v>3</v>
      </c>
      <c r="G55" cm="1">
        <f t="array" ref="G55">_xlfn.IFS(
D55&gt;=_xlfn.PERCENTILE.INC($D$2:$D$246,0.8),5,
D55&gt;=_xlfn.PERCENTILE.INC($D$2:$D$246,0.6),4,
D55&gt;=_xlfn.PERCENTILE.INC($D$2:$D$246,0.4),3,
D55&gt;=_xlfn.PERCENTILE.INC($D$2:$D$246,0.2),2,
TRUE,1
)</f>
        <v>2</v>
      </c>
      <c r="H55">
        <f t="shared" si="0"/>
        <v>8</v>
      </c>
      <c r="I55" t="str" cm="1">
        <f t="array" ref="I55">_xlfn.IFS(H55&gt;=13,"Best Customers",H55&gt;=10,"Loyal Customers",H55&gt;=7,"Potential Loyal Customers",H55&gt;=4,"Need Attention",TRUE,"At Risk")</f>
        <v>Potential Loyal Customers</v>
      </c>
    </row>
    <row r="56" spans="1:9" x14ac:dyDescent="0.25">
      <c r="A56" t="s">
        <v>462</v>
      </c>
      <c r="B56" s="5">
        <v>72</v>
      </c>
      <c r="C56" s="5">
        <v>5</v>
      </c>
      <c r="D56" s="2">
        <v>29741.32</v>
      </c>
      <c r="E56" cm="1">
        <f t="array" ref="E56">_xlfn.IFS(
B56&lt;=_xlfn.PERCENTILE.INC($B$2:$B$246,0.2),5,
B56&lt;=_xlfn.PERCENTILE.INC($B$2:$B$246,0.4),4,
B56&lt;=_xlfn.PERCENTILE.INC($B$2:$B$246,0.6),3,
B56&lt;=_xlfn.PERCENTILE.INC($B$2:$B$246,0.8),2,
TRUE,1
)</f>
        <v>4</v>
      </c>
      <c r="F56" cm="1">
        <f t="array" ref="F56">_xlfn.IFS(
C56&gt;=_xlfn.PERCENTILE.INC($C$2:$C$246,0.8),5,
C56&gt;=_xlfn.PERCENTILE.INC($C$2:$C$246,0.6),4,
C56&gt;=_xlfn.PERCENTILE.INC($C$2:$C$246,0.4),3,
C56&gt;=_xlfn.PERCENTILE.INC($C$2:$C$246,0.2),2,
TRUE,1
)</f>
        <v>4</v>
      </c>
      <c r="G56" cm="1">
        <f t="array" ref="G56">_xlfn.IFS(
D56&gt;=_xlfn.PERCENTILE.INC($D$2:$D$246,0.8),5,
D56&gt;=_xlfn.PERCENTILE.INC($D$2:$D$246,0.6),4,
D56&gt;=_xlfn.PERCENTILE.INC($D$2:$D$246,0.4),3,
D56&gt;=_xlfn.PERCENTILE.INC($D$2:$D$246,0.2),2,
TRUE,1
)</f>
        <v>5</v>
      </c>
      <c r="H56">
        <f t="shared" si="0"/>
        <v>13</v>
      </c>
      <c r="I56" t="str" cm="1">
        <f t="array" ref="I56">_xlfn.IFS(H56&gt;=13,"Best Customers",H56&gt;=10,"Loyal Customers",H56&gt;=7,"Potential Loyal Customers",H56&gt;=4,"Need Attention",TRUE,"At Risk")</f>
        <v>Best Customers</v>
      </c>
    </row>
    <row r="57" spans="1:9" x14ac:dyDescent="0.25">
      <c r="A57" t="s">
        <v>347</v>
      </c>
      <c r="B57" s="5">
        <v>26</v>
      </c>
      <c r="C57" s="5">
        <v>6</v>
      </c>
      <c r="D57" s="2">
        <v>27817.600000000002</v>
      </c>
      <c r="E57" cm="1">
        <f t="array" ref="E57">_xlfn.IFS(
B57&lt;=_xlfn.PERCENTILE.INC($B$2:$B$246,0.2),5,
B57&lt;=_xlfn.PERCENTILE.INC($B$2:$B$246,0.4),4,
B57&lt;=_xlfn.PERCENTILE.INC($B$2:$B$246,0.6),3,
B57&lt;=_xlfn.PERCENTILE.INC($B$2:$B$246,0.8),2,
TRUE,1
)</f>
        <v>5</v>
      </c>
      <c r="F57" cm="1">
        <f t="array" ref="F57">_xlfn.IFS(
C57&gt;=_xlfn.PERCENTILE.INC($C$2:$C$246,0.8),5,
C57&gt;=_xlfn.PERCENTILE.INC($C$2:$C$246,0.6),4,
C57&gt;=_xlfn.PERCENTILE.INC($C$2:$C$246,0.4),3,
C57&gt;=_xlfn.PERCENTILE.INC($C$2:$C$246,0.2),2,
TRUE,1
)</f>
        <v>5</v>
      </c>
      <c r="G57" cm="1">
        <f t="array" ref="G57">_xlfn.IFS(
D57&gt;=_xlfn.PERCENTILE.INC($D$2:$D$246,0.8),5,
D57&gt;=_xlfn.PERCENTILE.INC($D$2:$D$246,0.6),4,
D57&gt;=_xlfn.PERCENTILE.INC($D$2:$D$246,0.4),3,
D57&gt;=_xlfn.PERCENTILE.INC($D$2:$D$246,0.2),2,
TRUE,1
)</f>
        <v>4</v>
      </c>
      <c r="H57">
        <f t="shared" si="0"/>
        <v>14</v>
      </c>
      <c r="I57" t="str" cm="1">
        <f t="array" ref="I57">_xlfn.IFS(H57&gt;=13,"Best Customers",H57&gt;=10,"Loyal Customers",H57&gt;=7,"Potential Loyal Customers",H57&gt;=4,"Need Attention",TRUE,"At Risk")</f>
        <v>Best Customers</v>
      </c>
    </row>
    <row r="58" spans="1:9" x14ac:dyDescent="0.25">
      <c r="A58" t="s">
        <v>375</v>
      </c>
      <c r="B58" s="5">
        <v>27</v>
      </c>
      <c r="C58" s="5">
        <v>9</v>
      </c>
      <c r="D58" s="2">
        <v>38000.670000000006</v>
      </c>
      <c r="E58" cm="1">
        <f t="array" ref="E58">_xlfn.IFS(
B58&lt;=_xlfn.PERCENTILE.INC($B$2:$B$246,0.2),5,
B58&lt;=_xlfn.PERCENTILE.INC($B$2:$B$246,0.4),4,
B58&lt;=_xlfn.PERCENTILE.INC($B$2:$B$246,0.6),3,
B58&lt;=_xlfn.PERCENTILE.INC($B$2:$B$246,0.8),2,
TRUE,1
)</f>
        <v>5</v>
      </c>
      <c r="F58" cm="1">
        <f t="array" ref="F58">_xlfn.IFS(
C58&gt;=_xlfn.PERCENTILE.INC($C$2:$C$246,0.8),5,
C58&gt;=_xlfn.PERCENTILE.INC($C$2:$C$246,0.6),4,
C58&gt;=_xlfn.PERCENTILE.INC($C$2:$C$246,0.4),3,
C58&gt;=_xlfn.PERCENTILE.INC($C$2:$C$246,0.2),2,
TRUE,1
)</f>
        <v>5</v>
      </c>
      <c r="G58" cm="1">
        <f t="array" ref="G58">_xlfn.IFS(
D58&gt;=_xlfn.PERCENTILE.INC($D$2:$D$246,0.8),5,
D58&gt;=_xlfn.PERCENTILE.INC($D$2:$D$246,0.6),4,
D58&gt;=_xlfn.PERCENTILE.INC($D$2:$D$246,0.4),3,
D58&gt;=_xlfn.PERCENTILE.INC($D$2:$D$246,0.2),2,
TRUE,1
)</f>
        <v>5</v>
      </c>
      <c r="H58">
        <f t="shared" si="0"/>
        <v>15</v>
      </c>
      <c r="I58" t="str" cm="1">
        <f t="array" ref="I58">_xlfn.IFS(H58&gt;=13,"Best Customers",H58&gt;=10,"Loyal Customers",H58&gt;=7,"Potential Loyal Customers",H58&gt;=4,"Need Attention",TRUE,"At Risk")</f>
        <v>Best Customers</v>
      </c>
    </row>
    <row r="59" spans="1:9" x14ac:dyDescent="0.25">
      <c r="A59" t="s">
        <v>500</v>
      </c>
      <c r="B59" s="5">
        <v>34</v>
      </c>
      <c r="C59" s="5">
        <v>5</v>
      </c>
      <c r="D59" s="2">
        <v>20344.7</v>
      </c>
      <c r="E59" cm="1">
        <f t="array" ref="E59">_xlfn.IFS(
B59&lt;=_xlfn.PERCENTILE.INC($B$2:$B$246,0.2),5,
B59&lt;=_xlfn.PERCENTILE.INC($B$2:$B$246,0.4),4,
B59&lt;=_xlfn.PERCENTILE.INC($B$2:$B$246,0.6),3,
B59&lt;=_xlfn.PERCENTILE.INC($B$2:$B$246,0.8),2,
TRUE,1
)</f>
        <v>5</v>
      </c>
      <c r="F59" cm="1">
        <f t="array" ref="F59">_xlfn.IFS(
C59&gt;=_xlfn.PERCENTILE.INC($C$2:$C$246,0.8),5,
C59&gt;=_xlfn.PERCENTILE.INC($C$2:$C$246,0.6),4,
C59&gt;=_xlfn.PERCENTILE.INC($C$2:$C$246,0.4),3,
C59&gt;=_xlfn.PERCENTILE.INC($C$2:$C$246,0.2),2,
TRUE,1
)</f>
        <v>4</v>
      </c>
      <c r="G59" cm="1">
        <f t="array" ref="G59">_xlfn.IFS(
D59&gt;=_xlfn.PERCENTILE.INC($D$2:$D$246,0.8),5,
D59&gt;=_xlfn.PERCENTILE.INC($D$2:$D$246,0.6),4,
D59&gt;=_xlfn.PERCENTILE.INC($D$2:$D$246,0.4),3,
D59&gt;=_xlfn.PERCENTILE.INC($D$2:$D$246,0.2),2,
TRUE,1
)</f>
        <v>3</v>
      </c>
      <c r="H59">
        <f t="shared" si="0"/>
        <v>12</v>
      </c>
      <c r="I59" t="str" cm="1">
        <f t="array" ref="I59">_xlfn.IFS(H59&gt;=13,"Best Customers",H59&gt;=10,"Loyal Customers",H59&gt;=7,"Potential Loyal Customers",H59&gt;=4,"Need Attention",TRUE,"At Risk")</f>
        <v>Loyal Customers</v>
      </c>
    </row>
    <row r="60" spans="1:9" x14ac:dyDescent="0.25">
      <c r="A60" t="s">
        <v>607</v>
      </c>
      <c r="B60" s="5">
        <v>245</v>
      </c>
      <c r="C60" s="5">
        <v>3</v>
      </c>
      <c r="D60" s="2">
        <v>20341.93</v>
      </c>
      <c r="E60" cm="1">
        <f t="array" ref="E60">_xlfn.IFS(
B60&lt;=_xlfn.PERCENTILE.INC($B$2:$B$246,0.2),5,
B60&lt;=_xlfn.PERCENTILE.INC($B$2:$B$246,0.4),4,
B60&lt;=_xlfn.PERCENTILE.INC($B$2:$B$246,0.6),3,
B60&lt;=_xlfn.PERCENTILE.INC($B$2:$B$246,0.8),2,
TRUE,1
)</f>
        <v>2</v>
      </c>
      <c r="F60" cm="1">
        <f t="array" ref="F60">_xlfn.IFS(
C60&gt;=_xlfn.PERCENTILE.INC($C$2:$C$246,0.8),5,
C60&gt;=_xlfn.PERCENTILE.INC($C$2:$C$246,0.6),4,
C60&gt;=_xlfn.PERCENTILE.INC($C$2:$C$246,0.4),3,
C60&gt;=_xlfn.PERCENTILE.INC($C$2:$C$246,0.2),2,
TRUE,1
)</f>
        <v>3</v>
      </c>
      <c r="G60" cm="1">
        <f t="array" ref="G60">_xlfn.IFS(
D60&gt;=_xlfn.PERCENTILE.INC($D$2:$D$246,0.8),5,
D60&gt;=_xlfn.PERCENTILE.INC($D$2:$D$246,0.6),4,
D60&gt;=_xlfn.PERCENTILE.INC($D$2:$D$246,0.4),3,
D60&gt;=_xlfn.PERCENTILE.INC($D$2:$D$246,0.2),2,
TRUE,1
)</f>
        <v>3</v>
      </c>
      <c r="H60">
        <f t="shared" si="0"/>
        <v>8</v>
      </c>
      <c r="I60" t="str" cm="1">
        <f t="array" ref="I60">_xlfn.IFS(H60&gt;=13,"Best Customers",H60&gt;=10,"Loyal Customers",H60&gt;=7,"Potential Loyal Customers",H60&gt;=4,"Need Attention",TRUE,"At Risk")</f>
        <v>Potential Loyal Customers</v>
      </c>
    </row>
    <row r="61" spans="1:9" x14ac:dyDescent="0.25">
      <c r="A61" t="s">
        <v>786</v>
      </c>
      <c r="B61" s="5">
        <v>184</v>
      </c>
      <c r="C61" s="5">
        <v>6</v>
      </c>
      <c r="D61" s="2">
        <v>31968.03</v>
      </c>
      <c r="E61" cm="1">
        <f t="array" ref="E61">_xlfn.IFS(
B61&lt;=_xlfn.PERCENTILE.INC($B$2:$B$246,0.2),5,
B61&lt;=_xlfn.PERCENTILE.INC($B$2:$B$246,0.4),4,
B61&lt;=_xlfn.PERCENTILE.INC($B$2:$B$246,0.6),3,
B61&lt;=_xlfn.PERCENTILE.INC($B$2:$B$246,0.8),2,
TRUE,1
)</f>
        <v>2</v>
      </c>
      <c r="F61" cm="1">
        <f t="array" ref="F61">_xlfn.IFS(
C61&gt;=_xlfn.PERCENTILE.INC($C$2:$C$246,0.8),5,
C61&gt;=_xlfn.PERCENTILE.INC($C$2:$C$246,0.6),4,
C61&gt;=_xlfn.PERCENTILE.INC($C$2:$C$246,0.4),3,
C61&gt;=_xlfn.PERCENTILE.INC($C$2:$C$246,0.2),2,
TRUE,1
)</f>
        <v>5</v>
      </c>
      <c r="G61" cm="1">
        <f t="array" ref="G61">_xlfn.IFS(
D61&gt;=_xlfn.PERCENTILE.INC($D$2:$D$246,0.8),5,
D61&gt;=_xlfn.PERCENTILE.INC($D$2:$D$246,0.6),4,
D61&gt;=_xlfn.PERCENTILE.INC($D$2:$D$246,0.4),3,
D61&gt;=_xlfn.PERCENTILE.INC($D$2:$D$246,0.2),2,
TRUE,1
)</f>
        <v>5</v>
      </c>
      <c r="H61">
        <f t="shared" si="0"/>
        <v>12</v>
      </c>
      <c r="I61" t="str" cm="1">
        <f t="array" ref="I61">_xlfn.IFS(H61&gt;=13,"Best Customers",H61&gt;=10,"Loyal Customers",H61&gt;=7,"Potential Loyal Customers",H61&gt;=4,"Need Attention",TRUE,"At Risk")</f>
        <v>Loyal Customers</v>
      </c>
    </row>
    <row r="62" spans="1:9" x14ac:dyDescent="0.25">
      <c r="A62" t="s">
        <v>1107</v>
      </c>
      <c r="B62" s="5">
        <v>549</v>
      </c>
      <c r="C62" s="5">
        <v>1</v>
      </c>
      <c r="D62" s="2">
        <v>6307.52</v>
      </c>
      <c r="E62" cm="1">
        <f t="array" ref="E62">_xlfn.IFS(
B62&lt;=_xlfn.PERCENTILE.INC($B$2:$B$246,0.2),5,
B62&lt;=_xlfn.PERCENTILE.INC($B$2:$B$246,0.4),4,
B62&lt;=_xlfn.PERCENTILE.INC($B$2:$B$246,0.6),3,
B62&lt;=_xlfn.PERCENTILE.INC($B$2:$B$246,0.8),2,
TRUE,1
)</f>
        <v>1</v>
      </c>
      <c r="F62" cm="1">
        <f t="array" ref="F62">_xlfn.IFS(
C62&gt;=_xlfn.PERCENTILE.INC($C$2:$C$246,0.8),5,
C62&gt;=_xlfn.PERCENTILE.INC($C$2:$C$246,0.6),4,
C62&gt;=_xlfn.PERCENTILE.INC($C$2:$C$246,0.4),3,
C62&gt;=_xlfn.PERCENTILE.INC($C$2:$C$246,0.2),2,
TRUE,1
)</f>
        <v>1</v>
      </c>
      <c r="G62" cm="1">
        <f t="array" ref="G62">_xlfn.IFS(
D62&gt;=_xlfn.PERCENTILE.INC($D$2:$D$246,0.8),5,
D62&gt;=_xlfn.PERCENTILE.INC($D$2:$D$246,0.6),4,
D62&gt;=_xlfn.PERCENTILE.INC($D$2:$D$246,0.4),3,
D62&gt;=_xlfn.PERCENTILE.INC($D$2:$D$246,0.2),2,
TRUE,1
)</f>
        <v>1</v>
      </c>
      <c r="H62">
        <f t="shared" si="0"/>
        <v>3</v>
      </c>
      <c r="I62" t="str" cm="1">
        <f t="array" ref="I62">_xlfn.IFS(H62&gt;=13,"Best Customers",H62&gt;=10,"Loyal Customers",H62&gt;=7,"Potential Loyal Customers",H62&gt;=4,"Need Attention",TRUE,"At Risk")</f>
        <v>At Risk</v>
      </c>
    </row>
    <row r="63" spans="1:9" x14ac:dyDescent="0.25">
      <c r="A63" t="s">
        <v>80</v>
      </c>
      <c r="B63" s="5">
        <v>119</v>
      </c>
      <c r="C63" s="5">
        <v>7</v>
      </c>
      <c r="D63" s="2">
        <v>37707.379999999997</v>
      </c>
      <c r="E63" cm="1">
        <f t="array" ref="E63">_xlfn.IFS(
B63&lt;=_xlfn.PERCENTILE.INC($B$2:$B$246,0.2),5,
B63&lt;=_xlfn.PERCENTILE.INC($B$2:$B$246,0.4),4,
B63&lt;=_xlfn.PERCENTILE.INC($B$2:$B$246,0.6),3,
B63&lt;=_xlfn.PERCENTILE.INC($B$2:$B$246,0.8),2,
TRUE,1
)</f>
        <v>3</v>
      </c>
      <c r="F63" cm="1">
        <f t="array" ref="F63">_xlfn.IFS(
C63&gt;=_xlfn.PERCENTILE.INC($C$2:$C$246,0.8),5,
C63&gt;=_xlfn.PERCENTILE.INC($C$2:$C$246,0.6),4,
C63&gt;=_xlfn.PERCENTILE.INC($C$2:$C$246,0.4),3,
C63&gt;=_xlfn.PERCENTILE.INC($C$2:$C$246,0.2),2,
TRUE,1
)</f>
        <v>5</v>
      </c>
      <c r="G63" cm="1">
        <f t="array" ref="G63">_xlfn.IFS(
D63&gt;=_xlfn.PERCENTILE.INC($D$2:$D$246,0.8),5,
D63&gt;=_xlfn.PERCENTILE.INC($D$2:$D$246,0.6),4,
D63&gt;=_xlfn.PERCENTILE.INC($D$2:$D$246,0.4),3,
D63&gt;=_xlfn.PERCENTILE.INC($D$2:$D$246,0.2),2,
TRUE,1
)</f>
        <v>5</v>
      </c>
      <c r="H63">
        <f t="shared" si="0"/>
        <v>13</v>
      </c>
      <c r="I63" t="str" cm="1">
        <f t="array" ref="I63">_xlfn.IFS(H63&gt;=13,"Best Customers",H63&gt;=10,"Loyal Customers",H63&gt;=7,"Potential Loyal Customers",H63&gt;=4,"Need Attention",TRUE,"At Risk")</f>
        <v>Best Customers</v>
      </c>
    </row>
    <row r="64" spans="1:9" x14ac:dyDescent="0.25">
      <c r="A64" t="s">
        <v>248</v>
      </c>
      <c r="B64" s="5">
        <v>16</v>
      </c>
      <c r="C64" s="5">
        <v>6</v>
      </c>
      <c r="D64" s="2">
        <v>23600.69</v>
      </c>
      <c r="E64" cm="1">
        <f t="array" ref="E64">_xlfn.IFS(
B64&lt;=_xlfn.PERCENTILE.INC($B$2:$B$246,0.2),5,
B64&lt;=_xlfn.PERCENTILE.INC($B$2:$B$246,0.4),4,
B64&lt;=_xlfn.PERCENTILE.INC($B$2:$B$246,0.6),3,
B64&lt;=_xlfn.PERCENTILE.INC($B$2:$B$246,0.8),2,
TRUE,1
)</f>
        <v>5</v>
      </c>
      <c r="F64" cm="1">
        <f t="array" ref="F64">_xlfn.IFS(
C64&gt;=_xlfn.PERCENTILE.INC($C$2:$C$246,0.8),5,
C64&gt;=_xlfn.PERCENTILE.INC($C$2:$C$246,0.6),4,
C64&gt;=_xlfn.PERCENTILE.INC($C$2:$C$246,0.4),3,
C64&gt;=_xlfn.PERCENTILE.INC($C$2:$C$246,0.2),2,
TRUE,1
)</f>
        <v>5</v>
      </c>
      <c r="G64" cm="1">
        <f t="array" ref="G64">_xlfn.IFS(
D64&gt;=_xlfn.PERCENTILE.INC($D$2:$D$246,0.8),5,
D64&gt;=_xlfn.PERCENTILE.INC($D$2:$D$246,0.6),4,
D64&gt;=_xlfn.PERCENTILE.INC($D$2:$D$246,0.4),3,
D64&gt;=_xlfn.PERCENTILE.INC($D$2:$D$246,0.2),2,
TRUE,1
)</f>
        <v>4</v>
      </c>
      <c r="H64">
        <f t="shared" si="0"/>
        <v>14</v>
      </c>
      <c r="I64" t="str" cm="1">
        <f t="array" ref="I64">_xlfn.IFS(H64&gt;=13,"Best Customers",H64&gt;=10,"Loyal Customers",H64&gt;=7,"Potential Loyal Customers",H64&gt;=4,"Need Attention",TRUE,"At Risk")</f>
        <v>Best Customers</v>
      </c>
    </row>
    <row r="65" spans="1:9" x14ac:dyDescent="0.25">
      <c r="A65" t="s">
        <v>407</v>
      </c>
      <c r="B65" s="5">
        <v>44</v>
      </c>
      <c r="C65" s="5">
        <v>7</v>
      </c>
      <c r="D65" s="2">
        <v>38999.08</v>
      </c>
      <c r="E65" cm="1">
        <f t="array" ref="E65">_xlfn.IFS(
B65&lt;=_xlfn.PERCENTILE.INC($B$2:$B$246,0.2),5,
B65&lt;=_xlfn.PERCENTILE.INC($B$2:$B$246,0.4),4,
B65&lt;=_xlfn.PERCENTILE.INC($B$2:$B$246,0.6),3,
B65&lt;=_xlfn.PERCENTILE.INC($B$2:$B$246,0.8),2,
TRUE,1
)</f>
        <v>4</v>
      </c>
      <c r="F65" cm="1">
        <f t="array" ref="F65">_xlfn.IFS(
C65&gt;=_xlfn.PERCENTILE.INC($C$2:$C$246,0.8),5,
C65&gt;=_xlfn.PERCENTILE.INC($C$2:$C$246,0.6),4,
C65&gt;=_xlfn.PERCENTILE.INC($C$2:$C$246,0.4),3,
C65&gt;=_xlfn.PERCENTILE.INC($C$2:$C$246,0.2),2,
TRUE,1
)</f>
        <v>5</v>
      </c>
      <c r="G65" cm="1">
        <f t="array" ref="G65">_xlfn.IFS(
D65&gt;=_xlfn.PERCENTILE.INC($D$2:$D$246,0.8),5,
D65&gt;=_xlfn.PERCENTILE.INC($D$2:$D$246,0.6),4,
D65&gt;=_xlfn.PERCENTILE.INC($D$2:$D$246,0.4),3,
D65&gt;=_xlfn.PERCENTILE.INC($D$2:$D$246,0.2),2,
TRUE,1
)</f>
        <v>5</v>
      </c>
      <c r="H65">
        <f t="shared" si="0"/>
        <v>14</v>
      </c>
      <c r="I65" t="str" cm="1">
        <f t="array" ref="I65">_xlfn.IFS(H65&gt;=13,"Best Customers",H65&gt;=10,"Loyal Customers",H65&gt;=7,"Potential Loyal Customers",H65&gt;=4,"Need Attention",TRUE,"At Risk")</f>
        <v>Best Customers</v>
      </c>
    </row>
    <row r="66" spans="1:9" x14ac:dyDescent="0.25">
      <c r="A66" t="s">
        <v>377</v>
      </c>
      <c r="B66" s="5">
        <v>235</v>
      </c>
      <c r="C66" s="5">
        <v>7</v>
      </c>
      <c r="D66" s="2">
        <v>26334.97</v>
      </c>
      <c r="E66" cm="1">
        <f t="array" ref="E66">_xlfn.IFS(
B66&lt;=_xlfn.PERCENTILE.INC($B$2:$B$246,0.2),5,
B66&lt;=_xlfn.PERCENTILE.INC($B$2:$B$246,0.4),4,
B66&lt;=_xlfn.PERCENTILE.INC($B$2:$B$246,0.6),3,
B66&lt;=_xlfn.PERCENTILE.INC($B$2:$B$246,0.8),2,
TRUE,1
)</f>
        <v>2</v>
      </c>
      <c r="F66" cm="1">
        <f t="array" ref="F66">_xlfn.IFS(
C66&gt;=_xlfn.PERCENTILE.INC($C$2:$C$246,0.8),5,
C66&gt;=_xlfn.PERCENTILE.INC($C$2:$C$246,0.6),4,
C66&gt;=_xlfn.PERCENTILE.INC($C$2:$C$246,0.4),3,
C66&gt;=_xlfn.PERCENTILE.INC($C$2:$C$246,0.2),2,
TRUE,1
)</f>
        <v>5</v>
      </c>
      <c r="G66" cm="1">
        <f t="array" ref="G66">_xlfn.IFS(
D66&gt;=_xlfn.PERCENTILE.INC($D$2:$D$246,0.8),5,
D66&gt;=_xlfn.PERCENTILE.INC($D$2:$D$246,0.6),4,
D66&gt;=_xlfn.PERCENTILE.INC($D$2:$D$246,0.4),3,
D66&gt;=_xlfn.PERCENTILE.INC($D$2:$D$246,0.2),2,
TRUE,1
)</f>
        <v>4</v>
      </c>
      <c r="H66">
        <f t="shared" si="0"/>
        <v>11</v>
      </c>
      <c r="I66" t="str" cm="1">
        <f t="array" ref="I66">_xlfn.IFS(H66&gt;=13,"Best Customers",H66&gt;=10,"Loyal Customers",H66&gt;=7,"Potential Loyal Customers",H66&gt;=4,"Need Attention",TRUE,"At Risk")</f>
        <v>Loyal Customers</v>
      </c>
    </row>
    <row r="67" spans="1:9" x14ac:dyDescent="0.25">
      <c r="A67" t="s">
        <v>36</v>
      </c>
      <c r="B67" s="5">
        <v>20</v>
      </c>
      <c r="C67" s="5">
        <v>12</v>
      </c>
      <c r="D67" s="2">
        <v>54125.440000000002</v>
      </c>
      <c r="E67" cm="1">
        <f t="array" ref="E67">_xlfn.IFS(
B67&lt;=_xlfn.PERCENTILE.INC($B$2:$B$246,0.2),5,
B67&lt;=_xlfn.PERCENTILE.INC($B$2:$B$246,0.4),4,
B67&lt;=_xlfn.PERCENTILE.INC($B$2:$B$246,0.6),3,
B67&lt;=_xlfn.PERCENTILE.INC($B$2:$B$246,0.8),2,
TRUE,1
)</f>
        <v>5</v>
      </c>
      <c r="F67" cm="1">
        <f t="array" ref="F67">_xlfn.IFS(
C67&gt;=_xlfn.PERCENTILE.INC($C$2:$C$246,0.8),5,
C67&gt;=_xlfn.PERCENTILE.INC($C$2:$C$246,0.6),4,
C67&gt;=_xlfn.PERCENTILE.INC($C$2:$C$246,0.4),3,
C67&gt;=_xlfn.PERCENTILE.INC($C$2:$C$246,0.2),2,
TRUE,1
)</f>
        <v>5</v>
      </c>
      <c r="G67" cm="1">
        <f t="array" ref="G67">_xlfn.IFS(
D67&gt;=_xlfn.PERCENTILE.INC($D$2:$D$246,0.8),5,
D67&gt;=_xlfn.PERCENTILE.INC($D$2:$D$246,0.6),4,
D67&gt;=_xlfn.PERCENTILE.INC($D$2:$D$246,0.4),3,
D67&gt;=_xlfn.PERCENTILE.INC($D$2:$D$246,0.2),2,
TRUE,1
)</f>
        <v>5</v>
      </c>
      <c r="H67">
        <f t="shared" ref="H67:H130" si="1">E67+F67+G67</f>
        <v>15</v>
      </c>
      <c r="I67" t="str" cm="1">
        <f t="array" ref="I67">_xlfn.IFS(H67&gt;=13,"Best Customers",H67&gt;=10,"Loyal Customers",H67&gt;=7,"Potential Loyal Customers",H67&gt;=4,"Need Attention",TRUE,"At Risk")</f>
        <v>Best Customers</v>
      </c>
    </row>
    <row r="68" spans="1:9" x14ac:dyDescent="0.25">
      <c r="A68" t="s">
        <v>170</v>
      </c>
      <c r="B68" s="5">
        <v>213</v>
      </c>
      <c r="C68" s="5">
        <v>5</v>
      </c>
      <c r="D68" s="2">
        <v>28906.720000000001</v>
      </c>
      <c r="E68" cm="1">
        <f t="array" ref="E68">_xlfn.IFS(
B68&lt;=_xlfn.PERCENTILE.INC($B$2:$B$246,0.2),5,
B68&lt;=_xlfn.PERCENTILE.INC($B$2:$B$246,0.4),4,
B68&lt;=_xlfn.PERCENTILE.INC($B$2:$B$246,0.6),3,
B68&lt;=_xlfn.PERCENTILE.INC($B$2:$B$246,0.8),2,
TRUE,1
)</f>
        <v>2</v>
      </c>
      <c r="F68" cm="1">
        <f t="array" ref="F68">_xlfn.IFS(
C68&gt;=_xlfn.PERCENTILE.INC($C$2:$C$246,0.8),5,
C68&gt;=_xlfn.PERCENTILE.INC($C$2:$C$246,0.6),4,
C68&gt;=_xlfn.PERCENTILE.INC($C$2:$C$246,0.4),3,
C68&gt;=_xlfn.PERCENTILE.INC($C$2:$C$246,0.2),2,
TRUE,1
)</f>
        <v>4</v>
      </c>
      <c r="G68" cm="1">
        <f t="array" ref="G68">_xlfn.IFS(
D68&gt;=_xlfn.PERCENTILE.INC($D$2:$D$246,0.8),5,
D68&gt;=_xlfn.PERCENTILE.INC($D$2:$D$246,0.6),4,
D68&gt;=_xlfn.PERCENTILE.INC($D$2:$D$246,0.4),3,
D68&gt;=_xlfn.PERCENTILE.INC($D$2:$D$246,0.2),2,
TRUE,1
)</f>
        <v>5</v>
      </c>
      <c r="H68">
        <f t="shared" si="1"/>
        <v>11</v>
      </c>
      <c r="I68" t="str" cm="1">
        <f t="array" ref="I68">_xlfn.IFS(H68&gt;=13,"Best Customers",H68&gt;=10,"Loyal Customers",H68&gt;=7,"Potential Loyal Customers",H68&gt;=4,"Need Attention",TRUE,"At Risk")</f>
        <v>Loyal Customers</v>
      </c>
    </row>
    <row r="69" spans="1:9" x14ac:dyDescent="0.25">
      <c r="A69" t="s">
        <v>299</v>
      </c>
      <c r="B69" s="5">
        <v>648</v>
      </c>
      <c r="C69" s="5">
        <v>1</v>
      </c>
      <c r="D69" s="2">
        <v>4498.88</v>
      </c>
      <c r="E69" cm="1">
        <f t="array" ref="E69">_xlfn.IFS(
B69&lt;=_xlfn.PERCENTILE.INC($B$2:$B$246,0.2),5,
B69&lt;=_xlfn.PERCENTILE.INC($B$2:$B$246,0.4),4,
B69&lt;=_xlfn.PERCENTILE.INC($B$2:$B$246,0.6),3,
B69&lt;=_xlfn.PERCENTILE.INC($B$2:$B$246,0.8),2,
TRUE,1
)</f>
        <v>1</v>
      </c>
      <c r="F69" cm="1">
        <f t="array" ref="F69">_xlfn.IFS(
C69&gt;=_xlfn.PERCENTILE.INC($C$2:$C$246,0.8),5,
C69&gt;=_xlfn.PERCENTILE.INC($C$2:$C$246,0.6),4,
C69&gt;=_xlfn.PERCENTILE.INC($C$2:$C$246,0.4),3,
C69&gt;=_xlfn.PERCENTILE.INC($C$2:$C$246,0.2),2,
TRUE,1
)</f>
        <v>1</v>
      </c>
      <c r="G69" cm="1">
        <f t="array" ref="G69">_xlfn.IFS(
D69&gt;=_xlfn.PERCENTILE.INC($D$2:$D$246,0.8),5,
D69&gt;=_xlfn.PERCENTILE.INC($D$2:$D$246,0.6),4,
D69&gt;=_xlfn.PERCENTILE.INC($D$2:$D$246,0.4),3,
D69&gt;=_xlfn.PERCENTILE.INC($D$2:$D$246,0.2),2,
TRUE,1
)</f>
        <v>1</v>
      </c>
      <c r="H69">
        <f t="shared" si="1"/>
        <v>3</v>
      </c>
      <c r="I69" t="str" cm="1">
        <f t="array" ref="I69">_xlfn.IFS(H69&gt;=13,"Best Customers",H69&gt;=10,"Loyal Customers",H69&gt;=7,"Potential Loyal Customers",H69&gt;=4,"Need Attention",TRUE,"At Risk")</f>
        <v>At Risk</v>
      </c>
    </row>
    <row r="70" spans="1:9" x14ac:dyDescent="0.25">
      <c r="A70" t="s">
        <v>619</v>
      </c>
      <c r="B70" s="5">
        <v>156</v>
      </c>
      <c r="C70" s="5">
        <v>3</v>
      </c>
      <c r="D70" s="2">
        <v>16728.57</v>
      </c>
      <c r="E70" cm="1">
        <f t="array" ref="E70">_xlfn.IFS(
B70&lt;=_xlfn.PERCENTILE.INC($B$2:$B$246,0.2),5,
B70&lt;=_xlfn.PERCENTILE.INC($B$2:$B$246,0.4),4,
B70&lt;=_xlfn.PERCENTILE.INC($B$2:$B$246,0.6),3,
B70&lt;=_xlfn.PERCENTILE.INC($B$2:$B$246,0.8),2,
TRUE,1
)</f>
        <v>3</v>
      </c>
      <c r="F70" cm="1">
        <f t="array" ref="F70">_xlfn.IFS(
C70&gt;=_xlfn.PERCENTILE.INC($C$2:$C$246,0.8),5,
C70&gt;=_xlfn.PERCENTILE.INC($C$2:$C$246,0.6),4,
C70&gt;=_xlfn.PERCENTILE.INC($C$2:$C$246,0.4),3,
C70&gt;=_xlfn.PERCENTILE.INC($C$2:$C$246,0.2),2,
TRUE,1
)</f>
        <v>3</v>
      </c>
      <c r="G70" cm="1">
        <f t="array" ref="G70">_xlfn.IFS(
D70&gt;=_xlfn.PERCENTILE.INC($D$2:$D$246,0.8),5,
D70&gt;=_xlfn.PERCENTILE.INC($D$2:$D$246,0.6),4,
D70&gt;=_xlfn.PERCENTILE.INC($D$2:$D$246,0.4),3,
D70&gt;=_xlfn.PERCENTILE.INC($D$2:$D$246,0.2),2,
TRUE,1
)</f>
        <v>3</v>
      </c>
      <c r="H70">
        <f t="shared" si="1"/>
        <v>9</v>
      </c>
      <c r="I70" t="str" cm="1">
        <f t="array" ref="I70">_xlfn.IFS(H70&gt;=13,"Best Customers",H70&gt;=10,"Loyal Customers",H70&gt;=7,"Potential Loyal Customers",H70&gt;=4,"Need Attention",TRUE,"At Risk")</f>
        <v>Potential Loyal Customers</v>
      </c>
    </row>
    <row r="71" spans="1:9" x14ac:dyDescent="0.25">
      <c r="A71" t="s">
        <v>118</v>
      </c>
      <c r="B71" s="5">
        <v>53</v>
      </c>
      <c r="C71" s="5">
        <v>5</v>
      </c>
      <c r="D71" s="2">
        <v>28636.230000000003</v>
      </c>
      <c r="E71" cm="1">
        <f t="array" ref="E71">_xlfn.IFS(
B71&lt;=_xlfn.PERCENTILE.INC($B$2:$B$246,0.2),5,
B71&lt;=_xlfn.PERCENTILE.INC($B$2:$B$246,0.4),4,
B71&lt;=_xlfn.PERCENTILE.INC($B$2:$B$246,0.6),3,
B71&lt;=_xlfn.PERCENTILE.INC($B$2:$B$246,0.8),2,
TRUE,1
)</f>
        <v>4</v>
      </c>
      <c r="F71" cm="1">
        <f t="array" ref="F71">_xlfn.IFS(
C71&gt;=_xlfn.PERCENTILE.INC($C$2:$C$246,0.8),5,
C71&gt;=_xlfn.PERCENTILE.INC($C$2:$C$246,0.6),4,
C71&gt;=_xlfn.PERCENTILE.INC($C$2:$C$246,0.4),3,
C71&gt;=_xlfn.PERCENTILE.INC($C$2:$C$246,0.2),2,
TRUE,1
)</f>
        <v>4</v>
      </c>
      <c r="G71" cm="1">
        <f t="array" ref="G71">_xlfn.IFS(
D71&gt;=_xlfn.PERCENTILE.INC($D$2:$D$246,0.8),5,
D71&gt;=_xlfn.PERCENTILE.INC($D$2:$D$246,0.6),4,
D71&gt;=_xlfn.PERCENTILE.INC($D$2:$D$246,0.4),3,
D71&gt;=_xlfn.PERCENTILE.INC($D$2:$D$246,0.2),2,
TRUE,1
)</f>
        <v>4</v>
      </c>
      <c r="H71">
        <f t="shared" si="1"/>
        <v>12</v>
      </c>
      <c r="I71" t="str" cm="1">
        <f t="array" ref="I71">_xlfn.IFS(H71&gt;=13,"Best Customers",H71&gt;=10,"Loyal Customers",H71&gt;=7,"Potential Loyal Customers",H71&gt;=4,"Need Attention",TRUE,"At Risk")</f>
        <v>Loyal Customers</v>
      </c>
    </row>
    <row r="72" spans="1:9" x14ac:dyDescent="0.25">
      <c r="A72" t="s">
        <v>260</v>
      </c>
      <c r="B72" s="5">
        <v>34</v>
      </c>
      <c r="C72" s="5">
        <v>1</v>
      </c>
      <c r="D72" s="2">
        <v>1578.87</v>
      </c>
      <c r="E72" cm="1">
        <f t="array" ref="E72">_xlfn.IFS(
B72&lt;=_xlfn.PERCENTILE.INC($B$2:$B$246,0.2),5,
B72&lt;=_xlfn.PERCENTILE.INC($B$2:$B$246,0.4),4,
B72&lt;=_xlfn.PERCENTILE.INC($B$2:$B$246,0.6),3,
B72&lt;=_xlfn.PERCENTILE.INC($B$2:$B$246,0.8),2,
TRUE,1
)</f>
        <v>5</v>
      </c>
      <c r="F72" cm="1">
        <f t="array" ref="F72">_xlfn.IFS(
C72&gt;=_xlfn.PERCENTILE.INC($C$2:$C$246,0.8),5,
C72&gt;=_xlfn.PERCENTILE.INC($C$2:$C$246,0.6),4,
C72&gt;=_xlfn.PERCENTILE.INC($C$2:$C$246,0.4),3,
C72&gt;=_xlfn.PERCENTILE.INC($C$2:$C$246,0.2),2,
TRUE,1
)</f>
        <v>1</v>
      </c>
      <c r="G72" cm="1">
        <f t="array" ref="G72">_xlfn.IFS(
D72&gt;=_xlfn.PERCENTILE.INC($D$2:$D$246,0.8),5,
D72&gt;=_xlfn.PERCENTILE.INC($D$2:$D$246,0.6),4,
D72&gt;=_xlfn.PERCENTILE.INC($D$2:$D$246,0.4),3,
D72&gt;=_xlfn.PERCENTILE.INC($D$2:$D$246,0.2),2,
TRUE,1
)</f>
        <v>1</v>
      </c>
      <c r="H72">
        <f t="shared" si="1"/>
        <v>7</v>
      </c>
      <c r="I72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 x14ac:dyDescent="0.25">
      <c r="A73" t="s">
        <v>284</v>
      </c>
      <c r="B73" s="5">
        <v>39</v>
      </c>
      <c r="C73" s="5">
        <v>8</v>
      </c>
      <c r="D73" s="2">
        <v>45251.630000000005</v>
      </c>
      <c r="E73" cm="1">
        <f t="array" ref="E73">_xlfn.IFS(
B73&lt;=_xlfn.PERCENTILE.INC($B$2:$B$246,0.2),5,
B73&lt;=_xlfn.PERCENTILE.INC($B$2:$B$246,0.4),4,
B73&lt;=_xlfn.PERCENTILE.INC($B$2:$B$246,0.6),3,
B73&lt;=_xlfn.PERCENTILE.INC($B$2:$B$246,0.8),2,
TRUE,1
)</f>
        <v>5</v>
      </c>
      <c r="F73" cm="1">
        <f t="array" ref="F73">_xlfn.IFS(
C73&gt;=_xlfn.PERCENTILE.INC($C$2:$C$246,0.8),5,
C73&gt;=_xlfn.PERCENTILE.INC($C$2:$C$246,0.6),4,
C73&gt;=_xlfn.PERCENTILE.INC($C$2:$C$246,0.4),3,
C73&gt;=_xlfn.PERCENTILE.INC($C$2:$C$246,0.2),2,
TRUE,1
)</f>
        <v>5</v>
      </c>
      <c r="G73" cm="1">
        <f t="array" ref="G73">_xlfn.IFS(
D73&gt;=_xlfn.PERCENTILE.INC($D$2:$D$246,0.8),5,
D73&gt;=_xlfn.PERCENTILE.INC($D$2:$D$246,0.6),4,
D73&gt;=_xlfn.PERCENTILE.INC($D$2:$D$246,0.4),3,
D73&gt;=_xlfn.PERCENTILE.INC($D$2:$D$246,0.2),2,
TRUE,1
)</f>
        <v>5</v>
      </c>
      <c r="H73">
        <f t="shared" si="1"/>
        <v>15</v>
      </c>
      <c r="I73" t="str" cm="1">
        <f t="array" ref="I73">_xlfn.IFS(H73&gt;=13,"Best Customers",H73&gt;=10,"Loyal Customers",H73&gt;=7,"Potential Loyal Customers",H73&gt;=4,"Need Attention",TRUE,"At Risk")</f>
        <v>Best Customers</v>
      </c>
    </row>
    <row r="74" spans="1:9" x14ac:dyDescent="0.25">
      <c r="A74" t="s">
        <v>238</v>
      </c>
      <c r="B74" s="5">
        <v>339</v>
      </c>
      <c r="C74" s="5">
        <v>4</v>
      </c>
      <c r="D74" s="2">
        <v>16682.660000000003</v>
      </c>
      <c r="E74" cm="1">
        <f t="array" ref="E74">_xlfn.IFS(
B74&lt;=_xlfn.PERCENTILE.INC($B$2:$B$246,0.2),5,
B74&lt;=_xlfn.PERCENTILE.INC($B$2:$B$246,0.4),4,
B74&lt;=_xlfn.PERCENTILE.INC($B$2:$B$246,0.6),3,
B74&lt;=_xlfn.PERCENTILE.INC($B$2:$B$246,0.8),2,
TRUE,1
)</f>
        <v>1</v>
      </c>
      <c r="F74" cm="1">
        <f t="array" ref="F74">_xlfn.IFS(
C74&gt;=_xlfn.PERCENTILE.INC($C$2:$C$246,0.8),5,
C74&gt;=_xlfn.PERCENTILE.INC($C$2:$C$246,0.6),4,
C74&gt;=_xlfn.PERCENTILE.INC($C$2:$C$246,0.4),3,
C74&gt;=_xlfn.PERCENTILE.INC($C$2:$C$246,0.2),2,
TRUE,1
)</f>
        <v>3</v>
      </c>
      <c r="G74" cm="1">
        <f t="array" ref="G74">_xlfn.IFS(
D74&gt;=_xlfn.PERCENTILE.INC($D$2:$D$246,0.8),5,
D74&gt;=_xlfn.PERCENTILE.INC($D$2:$D$246,0.6),4,
D74&gt;=_xlfn.PERCENTILE.INC($D$2:$D$246,0.4),3,
D74&gt;=_xlfn.PERCENTILE.INC($D$2:$D$246,0.2),2,
TRUE,1
)</f>
        <v>3</v>
      </c>
      <c r="H74">
        <f t="shared" si="1"/>
        <v>7</v>
      </c>
      <c r="I74" t="str" cm="1">
        <f t="array" ref="I74">_xlfn.IFS(H74&gt;=13,"Best Customers",H74&gt;=10,"Loyal Customers",H74&gt;=7,"Potential Loyal Customers",H74&gt;=4,"Need Attention",TRUE,"At Risk")</f>
        <v>Potential Loyal Customers</v>
      </c>
    </row>
    <row r="75" spans="1:9" x14ac:dyDescent="0.25">
      <c r="A75" t="s">
        <v>748</v>
      </c>
      <c r="B75" s="5">
        <v>141</v>
      </c>
      <c r="C75" s="5">
        <v>2</v>
      </c>
      <c r="D75" s="2">
        <v>12612.1</v>
      </c>
      <c r="E75" cm="1">
        <f t="array" ref="E75">_xlfn.IFS(
B75&lt;=_xlfn.PERCENTILE.INC($B$2:$B$246,0.2),5,
B75&lt;=_xlfn.PERCENTILE.INC($B$2:$B$246,0.4),4,
B75&lt;=_xlfn.PERCENTILE.INC($B$2:$B$246,0.6),3,
B75&lt;=_xlfn.PERCENTILE.INC($B$2:$B$246,0.8),2,
TRUE,1
)</f>
        <v>3</v>
      </c>
      <c r="F75" cm="1">
        <f t="array" ref="F75">_xlfn.IFS(
C75&gt;=_xlfn.PERCENTILE.INC($C$2:$C$246,0.8),5,
C75&gt;=_xlfn.PERCENTILE.INC($C$2:$C$246,0.6),4,
C75&gt;=_xlfn.PERCENTILE.INC($C$2:$C$246,0.4),3,
C75&gt;=_xlfn.PERCENTILE.INC($C$2:$C$246,0.2),2,
TRUE,1
)</f>
        <v>2</v>
      </c>
      <c r="G75" cm="1">
        <f t="array" ref="G75">_xlfn.IFS(
D75&gt;=_xlfn.PERCENTILE.INC($D$2:$D$246,0.8),5,
D75&gt;=_xlfn.PERCENTILE.INC($D$2:$D$246,0.6),4,
D75&gt;=_xlfn.PERCENTILE.INC($D$2:$D$246,0.4),3,
D75&gt;=_xlfn.PERCENTILE.INC($D$2:$D$246,0.2),2,
TRUE,1
)</f>
        <v>2</v>
      </c>
      <c r="H75">
        <f t="shared" si="1"/>
        <v>7</v>
      </c>
      <c r="I75" t="str" cm="1">
        <f t="array" ref="I75">_xlfn.IFS(H75&gt;=13,"Best Customers",H75&gt;=10,"Loyal Customers",H75&gt;=7,"Potential Loyal Customers",H75&gt;=4,"Need Attention",TRUE,"At Risk")</f>
        <v>Potential Loyal Customers</v>
      </c>
    </row>
    <row r="76" spans="1:9" x14ac:dyDescent="0.25">
      <c r="A76" t="s">
        <v>142</v>
      </c>
      <c r="B76" s="5">
        <v>95</v>
      </c>
      <c r="C76" s="5">
        <v>2</v>
      </c>
      <c r="D76" s="2">
        <v>19224.769999999997</v>
      </c>
      <c r="E76" cm="1">
        <f t="array" ref="E76">_xlfn.IFS(
B76&lt;=_xlfn.PERCENTILE.INC($B$2:$B$246,0.2),5,
B76&lt;=_xlfn.PERCENTILE.INC($B$2:$B$246,0.4),4,
B76&lt;=_xlfn.PERCENTILE.INC($B$2:$B$246,0.6),3,
B76&lt;=_xlfn.PERCENTILE.INC($B$2:$B$246,0.8),2,
TRUE,1
)</f>
        <v>4</v>
      </c>
      <c r="F76" cm="1">
        <f t="array" ref="F76">_xlfn.IFS(
C76&gt;=_xlfn.PERCENTILE.INC($C$2:$C$246,0.8),5,
C76&gt;=_xlfn.PERCENTILE.INC($C$2:$C$246,0.6),4,
C76&gt;=_xlfn.PERCENTILE.INC($C$2:$C$246,0.4),3,
C76&gt;=_xlfn.PERCENTILE.INC($C$2:$C$246,0.2),2,
TRUE,1
)</f>
        <v>2</v>
      </c>
      <c r="G76" cm="1">
        <f t="array" ref="G76">_xlfn.IFS(
D76&gt;=_xlfn.PERCENTILE.INC($D$2:$D$246,0.8),5,
D76&gt;=_xlfn.PERCENTILE.INC($D$2:$D$246,0.6),4,
D76&gt;=_xlfn.PERCENTILE.INC($D$2:$D$246,0.4),3,
D76&gt;=_xlfn.PERCENTILE.INC($D$2:$D$246,0.2),2,
TRUE,1
)</f>
        <v>3</v>
      </c>
      <c r="H76">
        <f t="shared" si="1"/>
        <v>9</v>
      </c>
      <c r="I76" t="str" cm="1">
        <f t="array" ref="I76">_xlfn.IFS(H76&gt;=13,"Best Customers",H76&gt;=10,"Loyal Customers",H76&gt;=7,"Potential Loyal Customers",H76&gt;=4,"Need Attention",TRUE,"At Risk")</f>
        <v>Potential Loyal Customers</v>
      </c>
    </row>
    <row r="77" spans="1:9" x14ac:dyDescent="0.25">
      <c r="A77" t="s">
        <v>755</v>
      </c>
      <c r="B77" s="5">
        <v>20</v>
      </c>
      <c r="C77" s="5">
        <v>5</v>
      </c>
      <c r="D77" s="2">
        <v>19230.38</v>
      </c>
      <c r="E77" cm="1">
        <f t="array" ref="E77">_xlfn.IFS(
B77&lt;=_xlfn.PERCENTILE.INC($B$2:$B$246,0.2),5,
B77&lt;=_xlfn.PERCENTILE.INC($B$2:$B$246,0.4),4,
B77&lt;=_xlfn.PERCENTILE.INC($B$2:$B$246,0.6),3,
B77&lt;=_xlfn.PERCENTILE.INC($B$2:$B$246,0.8),2,
TRUE,1
)</f>
        <v>5</v>
      </c>
      <c r="F77" cm="1">
        <f t="array" ref="F77">_xlfn.IFS(
C77&gt;=_xlfn.PERCENTILE.INC($C$2:$C$246,0.8),5,
C77&gt;=_xlfn.PERCENTILE.INC($C$2:$C$246,0.6),4,
C77&gt;=_xlfn.PERCENTILE.INC($C$2:$C$246,0.4),3,
C77&gt;=_xlfn.PERCENTILE.INC($C$2:$C$246,0.2),2,
TRUE,1
)</f>
        <v>4</v>
      </c>
      <c r="G77" cm="1">
        <f t="array" ref="G77">_xlfn.IFS(
D77&gt;=_xlfn.PERCENTILE.INC($D$2:$D$246,0.8),5,
D77&gt;=_xlfn.PERCENTILE.INC($D$2:$D$246,0.6),4,
D77&gt;=_xlfn.PERCENTILE.INC($D$2:$D$246,0.4),3,
D77&gt;=_xlfn.PERCENTILE.INC($D$2:$D$246,0.2),2,
TRUE,1
)</f>
        <v>3</v>
      </c>
      <c r="H77">
        <f t="shared" si="1"/>
        <v>12</v>
      </c>
      <c r="I77" t="str" cm="1">
        <f t="array" ref="I77">_xlfn.IFS(H77&gt;=13,"Best Customers",H77&gt;=10,"Loyal Customers",H77&gt;=7,"Potential Loyal Customers",H77&gt;=4,"Need Attention",TRUE,"At Risk")</f>
        <v>Loyal Customers</v>
      </c>
    </row>
    <row r="78" spans="1:9" x14ac:dyDescent="0.25">
      <c r="A78" t="s">
        <v>193</v>
      </c>
      <c r="B78" s="5">
        <v>137</v>
      </c>
      <c r="C78" s="5">
        <v>3</v>
      </c>
      <c r="D78" s="2">
        <v>7656.1500000000005</v>
      </c>
      <c r="E78" cm="1">
        <f t="array" ref="E78">_xlfn.IFS(
B78&lt;=_xlfn.PERCENTILE.INC($B$2:$B$246,0.2),5,
B78&lt;=_xlfn.PERCENTILE.INC($B$2:$B$246,0.4),4,
B78&lt;=_xlfn.PERCENTILE.INC($B$2:$B$246,0.6),3,
B78&lt;=_xlfn.PERCENTILE.INC($B$2:$B$246,0.8),2,
TRUE,1
)</f>
        <v>3</v>
      </c>
      <c r="F78" cm="1">
        <f t="array" ref="F78">_xlfn.IFS(
C78&gt;=_xlfn.PERCENTILE.INC($C$2:$C$246,0.8),5,
C78&gt;=_xlfn.PERCENTILE.INC($C$2:$C$246,0.6),4,
C78&gt;=_xlfn.PERCENTILE.INC($C$2:$C$246,0.4),3,
C78&gt;=_xlfn.PERCENTILE.INC($C$2:$C$246,0.2),2,
TRUE,1
)</f>
        <v>3</v>
      </c>
      <c r="G78" cm="1">
        <f t="array" ref="G78">_xlfn.IFS(
D78&gt;=_xlfn.PERCENTILE.INC($D$2:$D$246,0.8),5,
D78&gt;=_xlfn.PERCENTILE.INC($D$2:$D$246,0.6),4,
D78&gt;=_xlfn.PERCENTILE.INC($D$2:$D$246,0.4),3,
D78&gt;=_xlfn.PERCENTILE.INC($D$2:$D$246,0.2),2,
TRUE,1
)</f>
        <v>1</v>
      </c>
      <c r="H78">
        <f t="shared" si="1"/>
        <v>7</v>
      </c>
      <c r="I78" t="str" cm="1">
        <f t="array" ref="I78">_xlfn.IFS(H78&gt;=13,"Best Customers",H78&gt;=10,"Loyal Customers",H78&gt;=7,"Potential Loyal Customers",H78&gt;=4,"Need Attention",TRUE,"At Risk")</f>
        <v>Potential Loyal Customers</v>
      </c>
    </row>
    <row r="79" spans="1:9" x14ac:dyDescent="0.25">
      <c r="A79" t="s">
        <v>342</v>
      </c>
      <c r="B79" s="5">
        <v>433</v>
      </c>
      <c r="C79" s="5">
        <v>4</v>
      </c>
      <c r="D79" s="2">
        <v>21533.86</v>
      </c>
      <c r="E79" cm="1">
        <f t="array" ref="E79">_xlfn.IFS(
B79&lt;=_xlfn.PERCENTILE.INC($B$2:$B$246,0.2),5,
B79&lt;=_xlfn.PERCENTILE.INC($B$2:$B$246,0.4),4,
B79&lt;=_xlfn.PERCENTILE.INC($B$2:$B$246,0.6),3,
B79&lt;=_xlfn.PERCENTILE.INC($B$2:$B$246,0.8),2,
TRUE,1
)</f>
        <v>1</v>
      </c>
      <c r="F79" cm="1">
        <f t="array" ref="F79">_xlfn.IFS(
C79&gt;=_xlfn.PERCENTILE.INC($C$2:$C$246,0.8),5,
C79&gt;=_xlfn.PERCENTILE.INC($C$2:$C$246,0.6),4,
C79&gt;=_xlfn.PERCENTILE.INC($C$2:$C$246,0.4),3,
C79&gt;=_xlfn.PERCENTILE.INC($C$2:$C$246,0.2),2,
TRUE,1
)</f>
        <v>3</v>
      </c>
      <c r="G79" cm="1">
        <f t="array" ref="G79">_xlfn.IFS(
D79&gt;=_xlfn.PERCENTILE.INC($D$2:$D$246,0.8),5,
D79&gt;=_xlfn.PERCENTILE.INC($D$2:$D$246,0.6),4,
D79&gt;=_xlfn.PERCENTILE.INC($D$2:$D$246,0.4),3,
D79&gt;=_xlfn.PERCENTILE.INC($D$2:$D$246,0.2),2,
TRUE,1
)</f>
        <v>3</v>
      </c>
      <c r="H79">
        <f t="shared" si="1"/>
        <v>7</v>
      </c>
      <c r="I79" t="str" cm="1">
        <f t="array" ref="I79">_xlfn.IFS(H79&gt;=13,"Best Customers",H79&gt;=10,"Loyal Customers",H79&gt;=7,"Potential Loyal Customers",H79&gt;=4,"Need Attention",TRUE,"At Risk")</f>
        <v>Potential Loyal Customers</v>
      </c>
    </row>
    <row r="80" spans="1:9" x14ac:dyDescent="0.25">
      <c r="A80" t="s">
        <v>140</v>
      </c>
      <c r="B80" s="5">
        <v>364</v>
      </c>
      <c r="C80" s="5">
        <v>2</v>
      </c>
      <c r="D80" s="2">
        <v>14464.84</v>
      </c>
      <c r="E80" cm="1">
        <f t="array" ref="E80">_xlfn.IFS(
B80&lt;=_xlfn.PERCENTILE.INC($B$2:$B$246,0.2),5,
B80&lt;=_xlfn.PERCENTILE.INC($B$2:$B$246,0.4),4,
B80&lt;=_xlfn.PERCENTILE.INC($B$2:$B$246,0.6),3,
B80&lt;=_xlfn.PERCENTILE.INC($B$2:$B$246,0.8),2,
TRUE,1
)</f>
        <v>1</v>
      </c>
      <c r="F80" cm="1">
        <f t="array" ref="F80">_xlfn.IFS(
C80&gt;=_xlfn.PERCENTILE.INC($C$2:$C$246,0.8),5,
C80&gt;=_xlfn.PERCENTILE.INC($C$2:$C$246,0.6),4,
C80&gt;=_xlfn.PERCENTILE.INC($C$2:$C$246,0.4),3,
C80&gt;=_xlfn.PERCENTILE.INC($C$2:$C$246,0.2),2,
TRUE,1
)</f>
        <v>2</v>
      </c>
      <c r="G80" cm="1">
        <f t="array" ref="G80">_xlfn.IFS(
D80&gt;=_xlfn.PERCENTILE.INC($D$2:$D$246,0.8),5,
D80&gt;=_xlfn.PERCENTILE.INC($D$2:$D$246,0.6),4,
D80&gt;=_xlfn.PERCENTILE.INC($D$2:$D$246,0.4),3,
D80&gt;=_xlfn.PERCENTILE.INC($D$2:$D$246,0.2),2,
TRUE,1
)</f>
        <v>2</v>
      </c>
      <c r="H80">
        <f t="shared" si="1"/>
        <v>5</v>
      </c>
      <c r="I80" t="str" cm="1">
        <f t="array" ref="I80">_xlfn.IFS(H80&gt;=13,"Best Customers",H80&gt;=10,"Loyal Customers",H80&gt;=7,"Potential Loyal Customers",H80&gt;=4,"Need Attention",TRUE,"At Risk")</f>
        <v>Need Attention</v>
      </c>
    </row>
    <row r="81" spans="1:9" x14ac:dyDescent="0.25">
      <c r="A81" t="s">
        <v>96</v>
      </c>
      <c r="B81" s="5">
        <v>165</v>
      </c>
      <c r="C81" s="5">
        <v>5</v>
      </c>
      <c r="D81" s="2">
        <v>33144.450000000004</v>
      </c>
      <c r="E81" cm="1">
        <f t="array" ref="E81">_xlfn.IFS(
B81&lt;=_xlfn.PERCENTILE.INC($B$2:$B$246,0.2),5,
B81&lt;=_xlfn.PERCENTILE.INC($B$2:$B$246,0.4),4,
B81&lt;=_xlfn.PERCENTILE.INC($B$2:$B$246,0.6),3,
B81&lt;=_xlfn.PERCENTILE.INC($B$2:$B$246,0.8),2,
TRUE,1
)</f>
        <v>3</v>
      </c>
      <c r="F81" cm="1">
        <f t="array" ref="F81">_xlfn.IFS(
C81&gt;=_xlfn.PERCENTILE.INC($C$2:$C$246,0.8),5,
C81&gt;=_xlfn.PERCENTILE.INC($C$2:$C$246,0.6),4,
C81&gt;=_xlfn.PERCENTILE.INC($C$2:$C$246,0.4),3,
C81&gt;=_xlfn.PERCENTILE.INC($C$2:$C$246,0.2),2,
TRUE,1
)</f>
        <v>4</v>
      </c>
      <c r="G81" cm="1">
        <f t="array" ref="G81">_xlfn.IFS(
D81&gt;=_xlfn.PERCENTILE.INC($D$2:$D$246,0.8),5,
D81&gt;=_xlfn.PERCENTILE.INC($D$2:$D$246,0.6),4,
D81&gt;=_xlfn.PERCENTILE.INC($D$2:$D$246,0.4),3,
D81&gt;=_xlfn.PERCENTILE.INC($D$2:$D$246,0.2),2,
TRUE,1
)</f>
        <v>5</v>
      </c>
      <c r="H81">
        <f t="shared" si="1"/>
        <v>12</v>
      </c>
      <c r="I81" t="str" cm="1">
        <f t="array" ref="I81">_xlfn.IFS(H81&gt;=13,"Best Customers",H81&gt;=10,"Loyal Customers",H81&gt;=7,"Potential Loyal Customers",H81&gt;=4,"Need Attention",TRUE,"At Risk")</f>
        <v>Loyal Customers</v>
      </c>
    </row>
    <row r="82" spans="1:9" x14ac:dyDescent="0.25">
      <c r="A82" t="s">
        <v>144</v>
      </c>
      <c r="B82" s="5">
        <v>24</v>
      </c>
      <c r="C82" s="5">
        <v>4</v>
      </c>
      <c r="D82" s="2">
        <v>23946.329999999998</v>
      </c>
      <c r="E82" cm="1">
        <f t="array" ref="E82">_xlfn.IFS(
B82&lt;=_xlfn.PERCENTILE.INC($B$2:$B$246,0.2),5,
B82&lt;=_xlfn.PERCENTILE.INC($B$2:$B$246,0.4),4,
B82&lt;=_xlfn.PERCENTILE.INC($B$2:$B$246,0.6),3,
B82&lt;=_xlfn.PERCENTILE.INC($B$2:$B$246,0.8),2,
TRUE,1
)</f>
        <v>5</v>
      </c>
      <c r="F82" cm="1">
        <f t="array" ref="F82">_xlfn.IFS(
C82&gt;=_xlfn.PERCENTILE.INC($C$2:$C$246,0.8),5,
C82&gt;=_xlfn.PERCENTILE.INC($C$2:$C$246,0.6),4,
C82&gt;=_xlfn.PERCENTILE.INC($C$2:$C$246,0.4),3,
C82&gt;=_xlfn.PERCENTILE.INC($C$2:$C$246,0.2),2,
TRUE,1
)</f>
        <v>3</v>
      </c>
      <c r="G82" cm="1">
        <f t="array" ref="G82">_xlfn.IFS(
D82&gt;=_xlfn.PERCENTILE.INC($D$2:$D$246,0.8),5,
D82&gt;=_xlfn.PERCENTILE.INC($D$2:$D$246,0.6),4,
D82&gt;=_xlfn.PERCENTILE.INC($D$2:$D$246,0.4),3,
D82&gt;=_xlfn.PERCENTILE.INC($D$2:$D$246,0.2),2,
TRUE,1
)</f>
        <v>4</v>
      </c>
      <c r="H82">
        <f t="shared" si="1"/>
        <v>12</v>
      </c>
      <c r="I82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 x14ac:dyDescent="0.25">
      <c r="A83" t="s">
        <v>395</v>
      </c>
      <c r="B83" s="5">
        <v>121</v>
      </c>
      <c r="C83" s="5">
        <v>2</v>
      </c>
      <c r="D83" s="2">
        <v>2220.5</v>
      </c>
      <c r="E83" cm="1">
        <f t="array" ref="E83">_xlfn.IFS(
B83&lt;=_xlfn.PERCENTILE.INC($B$2:$B$246,0.2),5,
B83&lt;=_xlfn.PERCENTILE.INC($B$2:$B$246,0.4),4,
B83&lt;=_xlfn.PERCENTILE.INC($B$2:$B$246,0.6),3,
B83&lt;=_xlfn.PERCENTILE.INC($B$2:$B$246,0.8),2,
TRUE,1
)</f>
        <v>3</v>
      </c>
      <c r="F83" cm="1">
        <f t="array" ref="F83">_xlfn.IFS(
C83&gt;=_xlfn.PERCENTILE.INC($C$2:$C$246,0.8),5,
C83&gt;=_xlfn.PERCENTILE.INC($C$2:$C$246,0.6),4,
C83&gt;=_xlfn.PERCENTILE.INC($C$2:$C$246,0.4),3,
C83&gt;=_xlfn.PERCENTILE.INC($C$2:$C$246,0.2),2,
TRUE,1
)</f>
        <v>2</v>
      </c>
      <c r="G83" cm="1">
        <f t="array" ref="G83">_xlfn.IFS(
D83&gt;=_xlfn.PERCENTILE.INC($D$2:$D$246,0.8),5,
D83&gt;=_xlfn.PERCENTILE.INC($D$2:$D$246,0.6),4,
D83&gt;=_xlfn.PERCENTILE.INC($D$2:$D$246,0.4),3,
D83&gt;=_xlfn.PERCENTILE.INC($D$2:$D$246,0.2),2,
TRUE,1
)</f>
        <v>1</v>
      </c>
      <c r="H83">
        <f t="shared" si="1"/>
        <v>6</v>
      </c>
      <c r="I83" t="str" cm="1">
        <f t="array" ref="I83">_xlfn.IFS(H83&gt;=13,"Best Customers",H83&gt;=10,"Loyal Customers",H83&gt;=7,"Potential Loyal Customers",H83&gt;=4,"Need Attention",TRUE,"At Risk")</f>
        <v>Need Attention</v>
      </c>
    </row>
    <row r="84" spans="1:9" x14ac:dyDescent="0.25">
      <c r="A84" t="s">
        <v>1162</v>
      </c>
      <c r="B84" s="5">
        <v>354</v>
      </c>
      <c r="C84" s="5">
        <v>1</v>
      </c>
      <c r="D84" s="2">
        <v>8029.89</v>
      </c>
      <c r="E84" cm="1">
        <f t="array" ref="E84">_xlfn.IFS(
B84&lt;=_xlfn.PERCENTILE.INC($B$2:$B$246,0.2),5,
B84&lt;=_xlfn.PERCENTILE.INC($B$2:$B$246,0.4),4,
B84&lt;=_xlfn.PERCENTILE.INC($B$2:$B$246,0.6),3,
B84&lt;=_xlfn.PERCENTILE.INC($B$2:$B$246,0.8),2,
TRUE,1
)</f>
        <v>1</v>
      </c>
      <c r="F84" cm="1">
        <f t="array" ref="F84">_xlfn.IFS(
C84&gt;=_xlfn.PERCENTILE.INC($C$2:$C$246,0.8),5,
C84&gt;=_xlfn.PERCENTILE.INC($C$2:$C$246,0.6),4,
C84&gt;=_xlfn.PERCENTILE.INC($C$2:$C$246,0.4),3,
C84&gt;=_xlfn.PERCENTILE.INC($C$2:$C$246,0.2),2,
TRUE,1
)</f>
        <v>1</v>
      </c>
      <c r="G84" cm="1">
        <f t="array" ref="G84">_xlfn.IFS(
D84&gt;=_xlfn.PERCENTILE.INC($D$2:$D$246,0.8),5,
D84&gt;=_xlfn.PERCENTILE.INC($D$2:$D$246,0.6),4,
D84&gt;=_xlfn.PERCENTILE.INC($D$2:$D$246,0.4),3,
D84&gt;=_xlfn.PERCENTILE.INC($D$2:$D$246,0.2),2,
TRUE,1
)</f>
        <v>1</v>
      </c>
      <c r="H84">
        <f t="shared" si="1"/>
        <v>3</v>
      </c>
      <c r="I84" t="str" cm="1">
        <f t="array" ref="I84">_xlfn.IFS(H84&gt;=13,"Best Customers",H84&gt;=10,"Loyal Customers",H84&gt;=7,"Potential Loyal Customers",H84&gt;=4,"Need Attention",TRUE,"At Risk")</f>
        <v>At Risk</v>
      </c>
    </row>
    <row r="85" spans="1:9" x14ac:dyDescent="0.25">
      <c r="A85" t="s">
        <v>668</v>
      </c>
      <c r="B85" s="5">
        <v>196</v>
      </c>
      <c r="C85" s="5">
        <v>3</v>
      </c>
      <c r="D85" s="2">
        <v>7249.8099999999995</v>
      </c>
      <c r="E85" cm="1">
        <f t="array" ref="E85">_xlfn.IFS(
B85&lt;=_xlfn.PERCENTILE.INC($B$2:$B$246,0.2),5,
B85&lt;=_xlfn.PERCENTILE.INC($B$2:$B$246,0.4),4,
B85&lt;=_xlfn.PERCENTILE.INC($B$2:$B$246,0.6),3,
B85&lt;=_xlfn.PERCENTILE.INC($B$2:$B$246,0.8),2,
TRUE,1
)</f>
        <v>2</v>
      </c>
      <c r="F85" cm="1">
        <f t="array" ref="F85">_xlfn.IFS(
C85&gt;=_xlfn.PERCENTILE.INC($C$2:$C$246,0.8),5,
C85&gt;=_xlfn.PERCENTILE.INC($C$2:$C$246,0.6),4,
C85&gt;=_xlfn.PERCENTILE.INC($C$2:$C$246,0.4),3,
C85&gt;=_xlfn.PERCENTILE.INC($C$2:$C$246,0.2),2,
TRUE,1
)</f>
        <v>3</v>
      </c>
      <c r="G85" cm="1">
        <f t="array" ref="G85">_xlfn.IFS(
D85&gt;=_xlfn.PERCENTILE.INC($D$2:$D$246,0.8),5,
D85&gt;=_xlfn.PERCENTILE.INC($D$2:$D$246,0.6),4,
D85&gt;=_xlfn.PERCENTILE.INC($D$2:$D$246,0.4),3,
D85&gt;=_xlfn.PERCENTILE.INC($D$2:$D$246,0.2),2,
TRUE,1
)</f>
        <v>1</v>
      </c>
      <c r="H85">
        <f t="shared" si="1"/>
        <v>6</v>
      </c>
      <c r="I85" t="str" cm="1">
        <f t="array" ref="I85">_xlfn.IFS(H85&gt;=13,"Best Customers",H85&gt;=10,"Loyal Customers",H85&gt;=7,"Potential Loyal Customers",H85&gt;=4,"Need Attention",TRUE,"At Risk")</f>
        <v>Need Attention</v>
      </c>
    </row>
    <row r="86" spans="1:9" x14ac:dyDescent="0.25">
      <c r="A86" t="s">
        <v>853</v>
      </c>
      <c r="B86" s="5">
        <v>611</v>
      </c>
      <c r="C86" s="5">
        <v>2</v>
      </c>
      <c r="D86" s="2">
        <v>6400.89</v>
      </c>
      <c r="E86" cm="1">
        <f t="array" ref="E86">_xlfn.IFS(
B86&lt;=_xlfn.PERCENTILE.INC($B$2:$B$246,0.2),5,
B86&lt;=_xlfn.PERCENTILE.INC($B$2:$B$246,0.4),4,
B86&lt;=_xlfn.PERCENTILE.INC($B$2:$B$246,0.6),3,
B86&lt;=_xlfn.PERCENTILE.INC($B$2:$B$246,0.8),2,
TRUE,1
)</f>
        <v>1</v>
      </c>
      <c r="F86" cm="1">
        <f t="array" ref="F86">_xlfn.IFS(
C86&gt;=_xlfn.PERCENTILE.INC($C$2:$C$246,0.8),5,
C86&gt;=_xlfn.PERCENTILE.INC($C$2:$C$246,0.6),4,
C86&gt;=_xlfn.PERCENTILE.INC($C$2:$C$246,0.4),3,
C86&gt;=_xlfn.PERCENTILE.INC($C$2:$C$246,0.2),2,
TRUE,1
)</f>
        <v>2</v>
      </c>
      <c r="G86" cm="1">
        <f t="array" ref="G86">_xlfn.IFS(
D86&gt;=_xlfn.PERCENTILE.INC($D$2:$D$246,0.8),5,
D86&gt;=_xlfn.PERCENTILE.INC($D$2:$D$246,0.6),4,
D86&gt;=_xlfn.PERCENTILE.INC($D$2:$D$246,0.4),3,
D86&gt;=_xlfn.PERCENTILE.INC($D$2:$D$246,0.2),2,
TRUE,1
)</f>
        <v>1</v>
      </c>
      <c r="H86">
        <f t="shared" si="1"/>
        <v>4</v>
      </c>
      <c r="I86" t="str" cm="1">
        <f t="array" ref="I86">_xlfn.IFS(H86&gt;=13,"Best Customers",H86&gt;=10,"Loyal Customers",H86&gt;=7,"Potential Loyal Customers",H86&gt;=4,"Need Attention",TRUE,"At Risk")</f>
        <v>Need Attention</v>
      </c>
    </row>
    <row r="87" spans="1:9" x14ac:dyDescent="0.25">
      <c r="A87" t="s">
        <v>235</v>
      </c>
      <c r="B87" s="5">
        <v>53</v>
      </c>
      <c r="C87" s="5">
        <v>3</v>
      </c>
      <c r="D87" s="2">
        <v>26211.48</v>
      </c>
      <c r="E87" cm="1">
        <f t="array" ref="E87">_xlfn.IFS(
B87&lt;=_xlfn.PERCENTILE.INC($B$2:$B$246,0.2),5,
B87&lt;=_xlfn.PERCENTILE.INC($B$2:$B$246,0.4),4,
B87&lt;=_xlfn.PERCENTILE.INC($B$2:$B$246,0.6),3,
B87&lt;=_xlfn.PERCENTILE.INC($B$2:$B$246,0.8),2,
TRUE,1
)</f>
        <v>4</v>
      </c>
      <c r="F87" cm="1">
        <f t="array" ref="F87">_xlfn.IFS(
C87&gt;=_xlfn.PERCENTILE.INC($C$2:$C$246,0.8),5,
C87&gt;=_xlfn.PERCENTILE.INC($C$2:$C$246,0.6),4,
C87&gt;=_xlfn.PERCENTILE.INC($C$2:$C$246,0.4),3,
C87&gt;=_xlfn.PERCENTILE.INC($C$2:$C$246,0.2),2,
TRUE,1
)</f>
        <v>3</v>
      </c>
      <c r="G87" cm="1">
        <f t="array" ref="G87">_xlfn.IFS(
D87&gt;=_xlfn.PERCENTILE.INC($D$2:$D$246,0.8),5,
D87&gt;=_xlfn.PERCENTILE.INC($D$2:$D$246,0.6),4,
D87&gt;=_xlfn.PERCENTILE.INC($D$2:$D$246,0.4),3,
D87&gt;=_xlfn.PERCENTILE.INC($D$2:$D$246,0.2),2,
TRUE,1
)</f>
        <v>4</v>
      </c>
      <c r="H87">
        <f t="shared" si="1"/>
        <v>11</v>
      </c>
      <c r="I87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 x14ac:dyDescent="0.25">
      <c r="A88" t="s">
        <v>255</v>
      </c>
      <c r="B88" s="5">
        <v>57</v>
      </c>
      <c r="C88" s="5">
        <v>8</v>
      </c>
      <c r="D88" s="2">
        <v>31543.379999999997</v>
      </c>
      <c r="E88" cm="1">
        <f t="array" ref="E88">_xlfn.IFS(
B88&lt;=_xlfn.PERCENTILE.INC($B$2:$B$246,0.2),5,
B88&lt;=_xlfn.PERCENTILE.INC($B$2:$B$246,0.4),4,
B88&lt;=_xlfn.PERCENTILE.INC($B$2:$B$246,0.6),3,
B88&lt;=_xlfn.PERCENTILE.INC($B$2:$B$246,0.8),2,
TRUE,1
)</f>
        <v>4</v>
      </c>
      <c r="F88" cm="1">
        <f t="array" ref="F88">_xlfn.IFS(
C88&gt;=_xlfn.PERCENTILE.INC($C$2:$C$246,0.8),5,
C88&gt;=_xlfn.PERCENTILE.INC($C$2:$C$246,0.6),4,
C88&gt;=_xlfn.PERCENTILE.INC($C$2:$C$246,0.4),3,
C88&gt;=_xlfn.PERCENTILE.INC($C$2:$C$246,0.2),2,
TRUE,1
)</f>
        <v>5</v>
      </c>
      <c r="G88" cm="1">
        <f t="array" ref="G88">_xlfn.IFS(
D88&gt;=_xlfn.PERCENTILE.INC($D$2:$D$246,0.8),5,
D88&gt;=_xlfn.PERCENTILE.INC($D$2:$D$246,0.6),4,
D88&gt;=_xlfn.PERCENTILE.INC($D$2:$D$246,0.4),3,
D88&gt;=_xlfn.PERCENTILE.INC($D$2:$D$246,0.2),2,
TRUE,1
)</f>
        <v>5</v>
      </c>
      <c r="H88">
        <f t="shared" si="1"/>
        <v>14</v>
      </c>
      <c r="I88" t="str" cm="1">
        <f t="array" ref="I88">_xlfn.IFS(H88&gt;=13,"Best Customers",H88&gt;=10,"Loyal Customers",H88&gt;=7,"Potential Loyal Customers",H88&gt;=4,"Need Attention",TRUE,"At Risk")</f>
        <v>Best Customers</v>
      </c>
    </row>
    <row r="89" spans="1:9" x14ac:dyDescent="0.25">
      <c r="A89" t="s">
        <v>537</v>
      </c>
      <c r="B89" s="5">
        <v>137</v>
      </c>
      <c r="C89" s="5">
        <v>5</v>
      </c>
      <c r="D89" s="2">
        <v>37556.49</v>
      </c>
      <c r="E89" cm="1">
        <f t="array" ref="E89">_xlfn.IFS(
B89&lt;=_xlfn.PERCENTILE.INC($B$2:$B$246,0.2),5,
B89&lt;=_xlfn.PERCENTILE.INC($B$2:$B$246,0.4),4,
B89&lt;=_xlfn.PERCENTILE.INC($B$2:$B$246,0.6),3,
B89&lt;=_xlfn.PERCENTILE.INC($B$2:$B$246,0.8),2,
TRUE,1
)</f>
        <v>3</v>
      </c>
      <c r="F89" cm="1">
        <f t="array" ref="F89">_xlfn.IFS(
C89&gt;=_xlfn.PERCENTILE.INC($C$2:$C$246,0.8),5,
C89&gt;=_xlfn.PERCENTILE.INC($C$2:$C$246,0.6),4,
C89&gt;=_xlfn.PERCENTILE.INC($C$2:$C$246,0.4),3,
C89&gt;=_xlfn.PERCENTILE.INC($C$2:$C$246,0.2),2,
TRUE,1
)</f>
        <v>4</v>
      </c>
      <c r="G89" cm="1">
        <f t="array" ref="G89">_xlfn.IFS(
D89&gt;=_xlfn.PERCENTILE.INC($D$2:$D$246,0.8),5,
D89&gt;=_xlfn.PERCENTILE.INC($D$2:$D$246,0.6),4,
D89&gt;=_xlfn.PERCENTILE.INC($D$2:$D$246,0.4),3,
D89&gt;=_xlfn.PERCENTILE.INC($D$2:$D$246,0.2),2,
TRUE,1
)</f>
        <v>5</v>
      </c>
      <c r="H89">
        <f t="shared" si="1"/>
        <v>12</v>
      </c>
      <c r="I89" t="str" cm="1">
        <f t="array" ref="I89">_xlfn.IFS(H89&gt;=13,"Best Customers",H89&gt;=10,"Loyal Customers",H89&gt;=7,"Potential Loyal Customers",H89&gt;=4,"Need Attention",TRUE,"At Risk")</f>
        <v>Loyal Customers</v>
      </c>
    </row>
    <row r="90" spans="1:9" x14ac:dyDescent="0.25">
      <c r="A90" t="s">
        <v>599</v>
      </c>
      <c r="B90" s="5">
        <v>39</v>
      </c>
      <c r="C90" s="5">
        <v>4</v>
      </c>
      <c r="D90" s="2">
        <v>31721.43</v>
      </c>
      <c r="E90" cm="1">
        <f t="array" ref="E90">_xlfn.IFS(
B90&lt;=_xlfn.PERCENTILE.INC($B$2:$B$246,0.2),5,
B90&lt;=_xlfn.PERCENTILE.INC($B$2:$B$246,0.4),4,
B90&lt;=_xlfn.PERCENTILE.INC($B$2:$B$246,0.6),3,
B90&lt;=_xlfn.PERCENTILE.INC($B$2:$B$246,0.8),2,
TRUE,1
)</f>
        <v>5</v>
      </c>
      <c r="F90" cm="1">
        <f t="array" ref="F90">_xlfn.IFS(
C90&gt;=_xlfn.PERCENTILE.INC($C$2:$C$246,0.8),5,
C90&gt;=_xlfn.PERCENTILE.INC($C$2:$C$246,0.6),4,
C90&gt;=_xlfn.PERCENTILE.INC($C$2:$C$246,0.4),3,
C90&gt;=_xlfn.PERCENTILE.INC($C$2:$C$246,0.2),2,
TRUE,1
)</f>
        <v>3</v>
      </c>
      <c r="G90" cm="1">
        <f t="array" ref="G90">_xlfn.IFS(
D90&gt;=_xlfn.PERCENTILE.INC($D$2:$D$246,0.8),5,
D90&gt;=_xlfn.PERCENTILE.INC($D$2:$D$246,0.6),4,
D90&gt;=_xlfn.PERCENTILE.INC($D$2:$D$246,0.4),3,
D90&gt;=_xlfn.PERCENTILE.INC($D$2:$D$246,0.2),2,
TRUE,1
)</f>
        <v>5</v>
      </c>
      <c r="H90">
        <f t="shared" si="1"/>
        <v>13</v>
      </c>
      <c r="I90" t="str" cm="1">
        <f t="array" ref="I90">_xlfn.IFS(H90&gt;=13,"Best Customers",H90&gt;=10,"Loyal Customers",H90&gt;=7,"Potential Loyal Customers",H90&gt;=4,"Need Attention",TRUE,"At Risk")</f>
        <v>Best Customers</v>
      </c>
    </row>
    <row r="91" spans="1:9" x14ac:dyDescent="0.25">
      <c r="A91" t="s">
        <v>46</v>
      </c>
      <c r="B91" s="5">
        <v>46</v>
      </c>
      <c r="C91" s="5">
        <v>3</v>
      </c>
      <c r="D91" s="2">
        <v>14804.55</v>
      </c>
      <c r="E91" cm="1">
        <f t="array" ref="E91">_xlfn.IFS(
B91&lt;=_xlfn.PERCENTILE.INC($B$2:$B$246,0.2),5,
B91&lt;=_xlfn.PERCENTILE.INC($B$2:$B$246,0.4),4,
B91&lt;=_xlfn.PERCENTILE.INC($B$2:$B$246,0.6),3,
B91&lt;=_xlfn.PERCENTILE.INC($B$2:$B$246,0.8),2,
TRUE,1
)</f>
        <v>4</v>
      </c>
      <c r="F91" cm="1">
        <f t="array" ref="F91">_xlfn.IFS(
C91&gt;=_xlfn.PERCENTILE.INC($C$2:$C$246,0.8),5,
C91&gt;=_xlfn.PERCENTILE.INC($C$2:$C$246,0.6),4,
C91&gt;=_xlfn.PERCENTILE.INC($C$2:$C$246,0.4),3,
C91&gt;=_xlfn.PERCENTILE.INC($C$2:$C$246,0.2),2,
TRUE,1
)</f>
        <v>3</v>
      </c>
      <c r="G91" cm="1">
        <f t="array" ref="G91">_xlfn.IFS(
D91&gt;=_xlfn.PERCENTILE.INC($D$2:$D$246,0.8),5,
D91&gt;=_xlfn.PERCENTILE.INC($D$2:$D$246,0.6),4,
D91&gt;=_xlfn.PERCENTILE.INC($D$2:$D$246,0.4),3,
D91&gt;=_xlfn.PERCENTILE.INC($D$2:$D$246,0.2),2,
TRUE,1
)</f>
        <v>2</v>
      </c>
      <c r="H91">
        <f t="shared" si="1"/>
        <v>9</v>
      </c>
      <c r="I91" t="str" cm="1">
        <f t="array" ref="I91">_xlfn.IFS(H91&gt;=13,"Best Customers",H91&gt;=10,"Loyal Customers",H91&gt;=7,"Potential Loyal Customers",H91&gt;=4,"Need Attention",TRUE,"At Risk")</f>
        <v>Potential Loyal Customers</v>
      </c>
    </row>
    <row r="92" spans="1:9" x14ac:dyDescent="0.25">
      <c r="A92" t="s">
        <v>60</v>
      </c>
      <c r="B92" s="5">
        <v>487</v>
      </c>
      <c r="C92" s="5">
        <v>2</v>
      </c>
      <c r="D92" s="2">
        <v>17088.05</v>
      </c>
      <c r="E92" cm="1">
        <f t="array" ref="E92">_xlfn.IFS(
B92&lt;=_xlfn.PERCENTILE.INC($B$2:$B$246,0.2),5,
B92&lt;=_xlfn.PERCENTILE.INC($B$2:$B$246,0.4),4,
B92&lt;=_xlfn.PERCENTILE.INC($B$2:$B$246,0.6),3,
B92&lt;=_xlfn.PERCENTILE.INC($B$2:$B$246,0.8),2,
TRUE,1
)</f>
        <v>1</v>
      </c>
      <c r="F92" cm="1">
        <f t="array" ref="F92">_xlfn.IFS(
C92&gt;=_xlfn.PERCENTILE.INC($C$2:$C$246,0.8),5,
C92&gt;=_xlfn.PERCENTILE.INC($C$2:$C$246,0.6),4,
C92&gt;=_xlfn.PERCENTILE.INC($C$2:$C$246,0.4),3,
C92&gt;=_xlfn.PERCENTILE.INC($C$2:$C$246,0.2),2,
TRUE,1
)</f>
        <v>2</v>
      </c>
      <c r="G92" cm="1">
        <f t="array" ref="G92">_xlfn.IFS(
D92&gt;=_xlfn.PERCENTILE.INC($D$2:$D$246,0.8),5,
D92&gt;=_xlfn.PERCENTILE.INC($D$2:$D$246,0.6),4,
D92&gt;=_xlfn.PERCENTILE.INC($D$2:$D$246,0.4),3,
D92&gt;=_xlfn.PERCENTILE.INC($D$2:$D$246,0.2),2,
TRUE,1
)</f>
        <v>3</v>
      </c>
      <c r="H92">
        <f t="shared" si="1"/>
        <v>6</v>
      </c>
      <c r="I92" t="str" cm="1">
        <f t="array" ref="I92">_xlfn.IFS(H92&gt;=13,"Best Customers",H92&gt;=10,"Loyal Customers",H92&gt;=7,"Potential Loyal Customers",H92&gt;=4,"Need Attention",TRUE,"At Risk")</f>
        <v>Need Attention</v>
      </c>
    </row>
    <row r="93" spans="1:9" x14ac:dyDescent="0.25">
      <c r="A93" t="s">
        <v>1119</v>
      </c>
      <c r="B93" s="5">
        <v>273</v>
      </c>
      <c r="C93" s="5">
        <v>3</v>
      </c>
      <c r="D93" s="2">
        <v>26743.67</v>
      </c>
      <c r="E93" cm="1">
        <f t="array" ref="E93">_xlfn.IFS(
B93&lt;=_xlfn.PERCENTILE.INC($B$2:$B$246,0.2),5,
B93&lt;=_xlfn.PERCENTILE.INC($B$2:$B$246,0.4),4,
B93&lt;=_xlfn.PERCENTILE.INC($B$2:$B$246,0.6),3,
B93&lt;=_xlfn.PERCENTILE.INC($B$2:$B$246,0.8),2,
TRUE,1
)</f>
        <v>2</v>
      </c>
      <c r="F93" cm="1">
        <f t="array" ref="F93">_xlfn.IFS(
C93&gt;=_xlfn.PERCENTILE.INC($C$2:$C$246,0.8),5,
C93&gt;=_xlfn.PERCENTILE.INC($C$2:$C$246,0.6),4,
C93&gt;=_xlfn.PERCENTILE.INC($C$2:$C$246,0.4),3,
C93&gt;=_xlfn.PERCENTILE.INC($C$2:$C$246,0.2),2,
TRUE,1
)</f>
        <v>3</v>
      </c>
      <c r="G93" cm="1">
        <f t="array" ref="G93">_xlfn.IFS(
D93&gt;=_xlfn.PERCENTILE.INC($D$2:$D$246,0.8),5,
D93&gt;=_xlfn.PERCENTILE.INC($D$2:$D$246,0.6),4,
D93&gt;=_xlfn.PERCENTILE.INC($D$2:$D$246,0.4),3,
D93&gt;=_xlfn.PERCENTILE.INC($D$2:$D$246,0.2),2,
TRUE,1
)</f>
        <v>4</v>
      </c>
      <c r="H93">
        <f t="shared" si="1"/>
        <v>9</v>
      </c>
      <c r="I93" t="str" cm="1">
        <f t="array" ref="I93">_xlfn.IFS(H93&gt;=13,"Best Customers",H93&gt;=10,"Loyal Customers",H93&gt;=7,"Potential Loyal Customers",H93&gt;=4,"Need Attention",TRUE,"At Risk")</f>
        <v>Potential Loyal Customers</v>
      </c>
    </row>
    <row r="94" spans="1:9" x14ac:dyDescent="0.25">
      <c r="A94" t="s">
        <v>187</v>
      </c>
      <c r="B94" s="5">
        <v>130</v>
      </c>
      <c r="C94" s="5">
        <v>3</v>
      </c>
      <c r="D94" s="2">
        <v>9229.4399999999987</v>
      </c>
      <c r="E94" cm="1">
        <f t="array" ref="E94">_xlfn.IFS(
B94&lt;=_xlfn.PERCENTILE.INC($B$2:$B$246,0.2),5,
B94&lt;=_xlfn.PERCENTILE.INC($B$2:$B$246,0.4),4,
B94&lt;=_xlfn.PERCENTILE.INC($B$2:$B$246,0.6),3,
B94&lt;=_xlfn.PERCENTILE.INC($B$2:$B$246,0.8),2,
TRUE,1
)</f>
        <v>3</v>
      </c>
      <c r="F94" cm="1">
        <f t="array" ref="F94">_xlfn.IFS(
C94&gt;=_xlfn.PERCENTILE.INC($C$2:$C$246,0.8),5,
C94&gt;=_xlfn.PERCENTILE.INC($C$2:$C$246,0.6),4,
C94&gt;=_xlfn.PERCENTILE.INC($C$2:$C$246,0.4),3,
C94&gt;=_xlfn.PERCENTILE.INC($C$2:$C$246,0.2),2,
TRUE,1
)</f>
        <v>3</v>
      </c>
      <c r="G94" cm="1">
        <f t="array" ref="G94">_xlfn.IFS(
D94&gt;=_xlfn.PERCENTILE.INC($D$2:$D$246,0.8),5,
D94&gt;=_xlfn.PERCENTILE.INC($D$2:$D$246,0.6),4,
D94&gt;=_xlfn.PERCENTILE.INC($D$2:$D$246,0.4),3,
D94&gt;=_xlfn.PERCENTILE.INC($D$2:$D$246,0.2),2,
TRUE,1
)</f>
        <v>1</v>
      </c>
      <c r="H94">
        <f t="shared" si="1"/>
        <v>7</v>
      </c>
      <c r="I94" t="str" cm="1">
        <f t="array" ref="I94">_xlfn.IFS(H94&gt;=13,"Best Customers",H94&gt;=10,"Loyal Customers",H94&gt;=7,"Potential Loyal Customers",H94&gt;=4,"Need Attention",TRUE,"At Risk")</f>
        <v>Potential Loyal Customers</v>
      </c>
    </row>
    <row r="95" spans="1:9" x14ac:dyDescent="0.25">
      <c r="A95" t="s">
        <v>1029</v>
      </c>
      <c r="B95" s="5">
        <v>221</v>
      </c>
      <c r="C95" s="5">
        <v>2</v>
      </c>
      <c r="D95" s="2">
        <v>17051.14</v>
      </c>
      <c r="E95" cm="1">
        <f t="array" ref="E95">_xlfn.IFS(
B95&lt;=_xlfn.PERCENTILE.INC($B$2:$B$246,0.2),5,
B95&lt;=_xlfn.PERCENTILE.INC($B$2:$B$246,0.4),4,
B95&lt;=_xlfn.PERCENTILE.INC($B$2:$B$246,0.6),3,
B95&lt;=_xlfn.PERCENTILE.INC($B$2:$B$246,0.8),2,
TRUE,1
)</f>
        <v>2</v>
      </c>
      <c r="F95" cm="1">
        <f t="array" ref="F95">_xlfn.IFS(
C95&gt;=_xlfn.PERCENTILE.INC($C$2:$C$246,0.8),5,
C95&gt;=_xlfn.PERCENTILE.INC($C$2:$C$246,0.6),4,
C95&gt;=_xlfn.PERCENTILE.INC($C$2:$C$246,0.4),3,
C95&gt;=_xlfn.PERCENTILE.INC($C$2:$C$246,0.2),2,
TRUE,1
)</f>
        <v>2</v>
      </c>
      <c r="G95" cm="1">
        <f t="array" ref="G95">_xlfn.IFS(
D95&gt;=_xlfn.PERCENTILE.INC($D$2:$D$246,0.8),5,
D95&gt;=_xlfn.PERCENTILE.INC($D$2:$D$246,0.6),4,
D95&gt;=_xlfn.PERCENTILE.INC($D$2:$D$246,0.4),3,
D95&gt;=_xlfn.PERCENTILE.INC($D$2:$D$246,0.2),2,
TRUE,1
)</f>
        <v>3</v>
      </c>
      <c r="H95">
        <f t="shared" si="1"/>
        <v>7</v>
      </c>
      <c r="I95" t="str" cm="1">
        <f t="array" ref="I95">_xlfn.IFS(H95&gt;=13,"Best Customers",H95&gt;=10,"Loyal Customers",H95&gt;=7,"Potential Loyal Customers",H95&gt;=4,"Need Attention",TRUE,"At Risk")</f>
        <v>Potential Loyal Customers</v>
      </c>
    </row>
    <row r="96" spans="1:9" x14ac:dyDescent="0.25">
      <c r="A96" t="s">
        <v>843</v>
      </c>
      <c r="B96" s="5">
        <v>185</v>
      </c>
      <c r="C96" s="5">
        <v>3</v>
      </c>
      <c r="D96" s="2">
        <v>8804.35</v>
      </c>
      <c r="E96" cm="1">
        <f t="array" ref="E96">_xlfn.IFS(
B96&lt;=_xlfn.PERCENTILE.INC($B$2:$B$246,0.2),5,
B96&lt;=_xlfn.PERCENTILE.INC($B$2:$B$246,0.4),4,
B96&lt;=_xlfn.PERCENTILE.INC($B$2:$B$246,0.6),3,
B96&lt;=_xlfn.PERCENTILE.INC($B$2:$B$246,0.8),2,
TRUE,1
)</f>
        <v>2</v>
      </c>
      <c r="F96" cm="1">
        <f t="array" ref="F96">_xlfn.IFS(
C96&gt;=_xlfn.PERCENTILE.INC($C$2:$C$246,0.8),5,
C96&gt;=_xlfn.PERCENTILE.INC($C$2:$C$246,0.6),4,
C96&gt;=_xlfn.PERCENTILE.INC($C$2:$C$246,0.4),3,
C96&gt;=_xlfn.PERCENTILE.INC($C$2:$C$246,0.2),2,
TRUE,1
)</f>
        <v>3</v>
      </c>
      <c r="G96" cm="1">
        <f t="array" ref="G96">_xlfn.IFS(
D96&gt;=_xlfn.PERCENTILE.INC($D$2:$D$246,0.8),5,
D96&gt;=_xlfn.PERCENTILE.INC($D$2:$D$246,0.6),4,
D96&gt;=_xlfn.PERCENTILE.INC($D$2:$D$246,0.4),3,
D96&gt;=_xlfn.PERCENTILE.INC($D$2:$D$246,0.2),2,
TRUE,1
)</f>
        <v>1</v>
      </c>
      <c r="H96">
        <f t="shared" si="1"/>
        <v>6</v>
      </c>
      <c r="I96" t="str" cm="1">
        <f t="array" ref="I96">_xlfn.IFS(H96&gt;=13,"Best Customers",H96&gt;=10,"Loyal Customers",H96&gt;=7,"Potential Loyal Customers",H96&gt;=4,"Need Attention",TRUE,"At Risk")</f>
        <v>Need Attention</v>
      </c>
    </row>
    <row r="97" spans="1:9" x14ac:dyDescent="0.25">
      <c r="A97" t="s">
        <v>168</v>
      </c>
      <c r="B97" s="5">
        <v>39</v>
      </c>
      <c r="C97" s="5">
        <v>6</v>
      </c>
      <c r="D97" s="2">
        <v>35066.71</v>
      </c>
      <c r="E97" cm="1">
        <f t="array" ref="E97">_xlfn.IFS(
B97&lt;=_xlfn.PERCENTILE.INC($B$2:$B$246,0.2),5,
B97&lt;=_xlfn.PERCENTILE.INC($B$2:$B$246,0.4),4,
B97&lt;=_xlfn.PERCENTILE.INC($B$2:$B$246,0.6),3,
B97&lt;=_xlfn.PERCENTILE.INC($B$2:$B$246,0.8),2,
TRUE,1
)</f>
        <v>5</v>
      </c>
      <c r="F97" cm="1">
        <f t="array" ref="F97">_xlfn.IFS(
C97&gt;=_xlfn.PERCENTILE.INC($C$2:$C$246,0.8),5,
C97&gt;=_xlfn.PERCENTILE.INC($C$2:$C$246,0.6),4,
C97&gt;=_xlfn.PERCENTILE.INC($C$2:$C$246,0.4),3,
C97&gt;=_xlfn.PERCENTILE.INC($C$2:$C$246,0.2),2,
TRUE,1
)</f>
        <v>5</v>
      </c>
      <c r="G97" cm="1">
        <f t="array" ref="G97">_xlfn.IFS(
D97&gt;=_xlfn.PERCENTILE.INC($D$2:$D$246,0.8),5,
D97&gt;=_xlfn.PERCENTILE.INC($D$2:$D$246,0.6),4,
D97&gt;=_xlfn.PERCENTILE.INC($D$2:$D$246,0.4),3,
D97&gt;=_xlfn.PERCENTILE.INC($D$2:$D$246,0.2),2,
TRUE,1
)</f>
        <v>5</v>
      </c>
      <c r="H97">
        <f t="shared" si="1"/>
        <v>15</v>
      </c>
      <c r="I97" t="str" cm="1">
        <f t="array" ref="I97">_xlfn.IFS(H97&gt;=13,"Best Customers",H97&gt;=10,"Loyal Customers",H97&gt;=7,"Potential Loyal Customers",H97&gt;=4,"Need Attention",TRUE,"At Risk")</f>
        <v>Best Customers</v>
      </c>
    </row>
    <row r="98" spans="1:9" x14ac:dyDescent="0.25">
      <c r="A98" t="s">
        <v>33</v>
      </c>
      <c r="B98" s="5">
        <v>83</v>
      </c>
      <c r="C98" s="5">
        <v>4</v>
      </c>
      <c r="D98" s="2">
        <v>16051.52</v>
      </c>
      <c r="E98" cm="1">
        <f t="array" ref="E98">_xlfn.IFS(
B98&lt;=_xlfn.PERCENTILE.INC($B$2:$B$246,0.2),5,
B98&lt;=_xlfn.PERCENTILE.INC($B$2:$B$246,0.4),4,
B98&lt;=_xlfn.PERCENTILE.INC($B$2:$B$246,0.6),3,
B98&lt;=_xlfn.PERCENTILE.INC($B$2:$B$246,0.8),2,
TRUE,1
)</f>
        <v>4</v>
      </c>
      <c r="F98" cm="1">
        <f t="array" ref="F98">_xlfn.IFS(
C98&gt;=_xlfn.PERCENTILE.INC($C$2:$C$246,0.8),5,
C98&gt;=_xlfn.PERCENTILE.INC($C$2:$C$246,0.6),4,
C98&gt;=_xlfn.PERCENTILE.INC($C$2:$C$246,0.4),3,
C98&gt;=_xlfn.PERCENTILE.INC($C$2:$C$246,0.2),2,
TRUE,1
)</f>
        <v>3</v>
      </c>
      <c r="G98" cm="1">
        <f t="array" ref="G98">_xlfn.IFS(
D98&gt;=_xlfn.PERCENTILE.INC($D$2:$D$246,0.8),5,
D98&gt;=_xlfn.PERCENTILE.INC($D$2:$D$246,0.6),4,
D98&gt;=_xlfn.PERCENTILE.INC($D$2:$D$246,0.4),3,
D98&gt;=_xlfn.PERCENTILE.INC($D$2:$D$246,0.2),2,
TRUE,1
)</f>
        <v>2</v>
      </c>
      <c r="H98">
        <f t="shared" si="1"/>
        <v>9</v>
      </c>
      <c r="I98" t="str" cm="1">
        <f t="array" ref="I98">_xlfn.IFS(H98&gt;=13,"Best Customers",H98&gt;=10,"Loyal Customers",H98&gt;=7,"Potential Loyal Customers",H98&gt;=4,"Need Attention",TRUE,"At Risk")</f>
        <v>Potential Loyal Customers</v>
      </c>
    </row>
    <row r="99" spans="1:9" x14ac:dyDescent="0.25">
      <c r="A99" t="s">
        <v>272</v>
      </c>
      <c r="B99" s="5">
        <v>215</v>
      </c>
      <c r="C99" s="5">
        <v>5</v>
      </c>
      <c r="D99" s="2">
        <v>22151.14</v>
      </c>
      <c r="E99" cm="1">
        <f t="array" ref="E99">_xlfn.IFS(
B99&lt;=_xlfn.PERCENTILE.INC($B$2:$B$246,0.2),5,
B99&lt;=_xlfn.PERCENTILE.INC($B$2:$B$246,0.4),4,
B99&lt;=_xlfn.PERCENTILE.INC($B$2:$B$246,0.6),3,
B99&lt;=_xlfn.PERCENTILE.INC($B$2:$B$246,0.8),2,
TRUE,1
)</f>
        <v>2</v>
      </c>
      <c r="F99" cm="1">
        <f t="array" ref="F99">_xlfn.IFS(
C99&gt;=_xlfn.PERCENTILE.INC($C$2:$C$246,0.8),5,
C99&gt;=_xlfn.PERCENTILE.INC($C$2:$C$246,0.6),4,
C99&gt;=_xlfn.PERCENTILE.INC($C$2:$C$246,0.4),3,
C99&gt;=_xlfn.PERCENTILE.INC($C$2:$C$246,0.2),2,
TRUE,1
)</f>
        <v>4</v>
      </c>
      <c r="G99" cm="1">
        <f t="array" ref="G99">_xlfn.IFS(
D99&gt;=_xlfn.PERCENTILE.INC($D$2:$D$246,0.8),5,
D99&gt;=_xlfn.PERCENTILE.INC($D$2:$D$246,0.6),4,
D99&gt;=_xlfn.PERCENTILE.INC($D$2:$D$246,0.4),3,
D99&gt;=_xlfn.PERCENTILE.INC($D$2:$D$246,0.2),2,
TRUE,1
)</f>
        <v>3</v>
      </c>
      <c r="H99">
        <f t="shared" si="1"/>
        <v>9</v>
      </c>
      <c r="I99" t="str" cm="1">
        <f t="array" ref="I99">_xlfn.IFS(H99&gt;=13,"Best Customers",H99&gt;=10,"Loyal Customers",H99&gt;=7,"Potential Loyal Customers",H99&gt;=4,"Need Attention",TRUE,"At Risk")</f>
        <v>Potential Loyal Customers</v>
      </c>
    </row>
    <row r="100" spans="1:9" x14ac:dyDescent="0.25">
      <c r="A100" t="s">
        <v>176</v>
      </c>
      <c r="B100" s="5">
        <v>11</v>
      </c>
      <c r="C100" s="5">
        <v>7</v>
      </c>
      <c r="D100" s="2">
        <v>37302.569999999992</v>
      </c>
      <c r="E100" cm="1">
        <f t="array" ref="E100">_xlfn.IFS(
B100&lt;=_xlfn.PERCENTILE.INC($B$2:$B$246,0.2),5,
B100&lt;=_xlfn.PERCENTILE.INC($B$2:$B$246,0.4),4,
B100&lt;=_xlfn.PERCENTILE.INC($B$2:$B$246,0.6),3,
B100&lt;=_xlfn.PERCENTILE.INC($B$2:$B$246,0.8),2,
TRUE,1
)</f>
        <v>5</v>
      </c>
      <c r="F100" cm="1">
        <f t="array" ref="F100">_xlfn.IFS(
C100&gt;=_xlfn.PERCENTILE.INC($C$2:$C$246,0.8),5,
C100&gt;=_xlfn.PERCENTILE.INC($C$2:$C$246,0.6),4,
C100&gt;=_xlfn.PERCENTILE.INC($C$2:$C$246,0.4),3,
C100&gt;=_xlfn.PERCENTILE.INC($C$2:$C$246,0.2),2,
TRUE,1
)</f>
        <v>5</v>
      </c>
      <c r="G100" cm="1">
        <f t="array" ref="G100">_xlfn.IFS(
D100&gt;=_xlfn.PERCENTILE.INC($D$2:$D$246,0.8),5,
D100&gt;=_xlfn.PERCENTILE.INC($D$2:$D$246,0.6),4,
D100&gt;=_xlfn.PERCENTILE.INC($D$2:$D$246,0.4),3,
D100&gt;=_xlfn.PERCENTILE.INC($D$2:$D$246,0.2),2,
TRUE,1
)</f>
        <v>5</v>
      </c>
      <c r="H100">
        <f t="shared" si="1"/>
        <v>15</v>
      </c>
      <c r="I100" t="str" cm="1">
        <f t="array" ref="I100">_xlfn.IFS(H100&gt;=13,"Best Customers",H100&gt;=10,"Loyal Customers",H100&gt;=7,"Potential Loyal Customers",H100&gt;=4,"Need Attention",TRUE,"At Risk")</f>
        <v>Best Customers</v>
      </c>
    </row>
    <row r="101" spans="1:9" x14ac:dyDescent="0.25">
      <c r="A101" t="s">
        <v>116</v>
      </c>
      <c r="B101" s="5">
        <v>53</v>
      </c>
      <c r="C101" s="5">
        <v>3</v>
      </c>
      <c r="D101" s="2">
        <v>19695.079999999998</v>
      </c>
      <c r="E101" cm="1">
        <f t="array" ref="E101">_xlfn.IFS(
B101&lt;=_xlfn.PERCENTILE.INC($B$2:$B$246,0.2),5,
B101&lt;=_xlfn.PERCENTILE.INC($B$2:$B$246,0.4),4,
B101&lt;=_xlfn.PERCENTILE.INC($B$2:$B$246,0.6),3,
B101&lt;=_xlfn.PERCENTILE.INC($B$2:$B$246,0.8),2,
TRUE,1
)</f>
        <v>4</v>
      </c>
      <c r="F101" cm="1">
        <f t="array" ref="F101">_xlfn.IFS(
C101&gt;=_xlfn.PERCENTILE.INC($C$2:$C$246,0.8),5,
C101&gt;=_xlfn.PERCENTILE.INC($C$2:$C$246,0.6),4,
C101&gt;=_xlfn.PERCENTILE.INC($C$2:$C$246,0.4),3,
C101&gt;=_xlfn.PERCENTILE.INC($C$2:$C$246,0.2),2,
TRUE,1
)</f>
        <v>3</v>
      </c>
      <c r="G101" cm="1">
        <f t="array" ref="G101">_xlfn.IFS(
D101&gt;=_xlfn.PERCENTILE.INC($D$2:$D$246,0.8),5,
D101&gt;=_xlfn.PERCENTILE.INC($D$2:$D$246,0.6),4,
D101&gt;=_xlfn.PERCENTILE.INC($D$2:$D$246,0.4),3,
D101&gt;=_xlfn.PERCENTILE.INC($D$2:$D$246,0.2),2,
TRUE,1
)</f>
        <v>3</v>
      </c>
      <c r="H101">
        <f t="shared" si="1"/>
        <v>10</v>
      </c>
      <c r="I10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 x14ac:dyDescent="0.25">
      <c r="A102" t="s">
        <v>882</v>
      </c>
      <c r="B102" s="5">
        <v>207</v>
      </c>
      <c r="C102" s="5">
        <v>1</v>
      </c>
      <c r="D102" s="2">
        <v>4848.0600000000004</v>
      </c>
      <c r="E102" cm="1">
        <f t="array" ref="E102">_xlfn.IFS(
B102&lt;=_xlfn.PERCENTILE.INC($B$2:$B$246,0.2),5,
B102&lt;=_xlfn.PERCENTILE.INC($B$2:$B$246,0.4),4,
B102&lt;=_xlfn.PERCENTILE.INC($B$2:$B$246,0.6),3,
B102&lt;=_xlfn.PERCENTILE.INC($B$2:$B$246,0.8),2,
TRUE,1
)</f>
        <v>2</v>
      </c>
      <c r="F102" cm="1">
        <f t="array" ref="F102">_xlfn.IFS(
C102&gt;=_xlfn.PERCENTILE.INC($C$2:$C$246,0.8),5,
C102&gt;=_xlfn.PERCENTILE.INC($C$2:$C$246,0.6),4,
C102&gt;=_xlfn.PERCENTILE.INC($C$2:$C$246,0.4),3,
C102&gt;=_xlfn.PERCENTILE.INC($C$2:$C$246,0.2),2,
TRUE,1
)</f>
        <v>1</v>
      </c>
      <c r="G102" cm="1">
        <f t="array" ref="G102">_xlfn.IFS(
D102&gt;=_xlfn.PERCENTILE.INC($D$2:$D$246,0.8),5,
D102&gt;=_xlfn.PERCENTILE.INC($D$2:$D$246,0.6),4,
D102&gt;=_xlfn.PERCENTILE.INC($D$2:$D$246,0.4),3,
D102&gt;=_xlfn.PERCENTILE.INC($D$2:$D$246,0.2),2,
TRUE,1
)</f>
        <v>1</v>
      </c>
      <c r="H102">
        <f t="shared" si="1"/>
        <v>4</v>
      </c>
      <c r="I102" t="str" cm="1">
        <f t="array" ref="I102">_xlfn.IFS(H102&gt;=13,"Best Customers",H102&gt;=10,"Loyal Customers",H102&gt;=7,"Potential Loyal Customers",H102&gt;=4,"Need Attention",TRUE,"At Risk")</f>
        <v>Need Attention</v>
      </c>
    </row>
    <row r="103" spans="1:9" x14ac:dyDescent="0.25">
      <c r="A103" t="s">
        <v>135</v>
      </c>
      <c r="B103" s="5">
        <v>224</v>
      </c>
      <c r="C103" s="5">
        <v>3</v>
      </c>
      <c r="D103" s="2">
        <v>10478.02</v>
      </c>
      <c r="E103" cm="1">
        <f t="array" ref="E103">_xlfn.IFS(
B103&lt;=_xlfn.PERCENTILE.INC($B$2:$B$246,0.2),5,
B103&lt;=_xlfn.PERCENTILE.INC($B$2:$B$246,0.4),4,
B103&lt;=_xlfn.PERCENTILE.INC($B$2:$B$246,0.6),3,
B103&lt;=_xlfn.PERCENTILE.INC($B$2:$B$246,0.8),2,
TRUE,1
)</f>
        <v>2</v>
      </c>
      <c r="F103" cm="1">
        <f t="array" ref="F103">_xlfn.IFS(
C103&gt;=_xlfn.PERCENTILE.INC($C$2:$C$246,0.8),5,
C103&gt;=_xlfn.PERCENTILE.INC($C$2:$C$246,0.6),4,
C103&gt;=_xlfn.PERCENTILE.INC($C$2:$C$246,0.4),3,
C103&gt;=_xlfn.PERCENTILE.INC($C$2:$C$246,0.2),2,
TRUE,1
)</f>
        <v>3</v>
      </c>
      <c r="G103" cm="1">
        <f t="array" ref="G103">_xlfn.IFS(
D103&gt;=_xlfn.PERCENTILE.INC($D$2:$D$246,0.8),5,
D103&gt;=_xlfn.PERCENTILE.INC($D$2:$D$246,0.6),4,
D103&gt;=_xlfn.PERCENTILE.INC($D$2:$D$246,0.4),3,
D103&gt;=_xlfn.PERCENTILE.INC($D$2:$D$246,0.2),2,
TRUE,1
)</f>
        <v>2</v>
      </c>
      <c r="H103">
        <f t="shared" si="1"/>
        <v>7</v>
      </c>
      <c r="I103" t="str" cm="1">
        <f t="array" ref="I103">_xlfn.IFS(H103&gt;=13,"Best Customers",H103&gt;=10,"Loyal Customers",H103&gt;=7,"Potential Loyal Customers",H103&gt;=4,"Need Attention",TRUE,"At Risk")</f>
        <v>Potential Loyal Customers</v>
      </c>
    </row>
    <row r="104" spans="1:9" x14ac:dyDescent="0.25">
      <c r="A104" t="s">
        <v>339</v>
      </c>
      <c r="B104" s="5">
        <v>225</v>
      </c>
      <c r="C104" s="5">
        <v>4</v>
      </c>
      <c r="D104" s="2">
        <v>27447.85</v>
      </c>
      <c r="E104" cm="1">
        <f t="array" ref="E104">_xlfn.IFS(
B104&lt;=_xlfn.PERCENTILE.INC($B$2:$B$246,0.2),5,
B104&lt;=_xlfn.PERCENTILE.INC($B$2:$B$246,0.4),4,
B104&lt;=_xlfn.PERCENTILE.INC($B$2:$B$246,0.6),3,
B104&lt;=_xlfn.PERCENTILE.INC($B$2:$B$246,0.8),2,
TRUE,1
)</f>
        <v>2</v>
      </c>
      <c r="F104" cm="1">
        <f t="array" ref="F104">_xlfn.IFS(
C104&gt;=_xlfn.PERCENTILE.INC($C$2:$C$246,0.8),5,
C104&gt;=_xlfn.PERCENTILE.INC($C$2:$C$246,0.6),4,
C104&gt;=_xlfn.PERCENTILE.INC($C$2:$C$246,0.4),3,
C104&gt;=_xlfn.PERCENTILE.INC($C$2:$C$246,0.2),2,
TRUE,1
)</f>
        <v>3</v>
      </c>
      <c r="G104" cm="1">
        <f t="array" ref="G104">_xlfn.IFS(
D104&gt;=_xlfn.PERCENTILE.INC($D$2:$D$246,0.8),5,
D104&gt;=_xlfn.PERCENTILE.INC($D$2:$D$246,0.6),4,
D104&gt;=_xlfn.PERCENTILE.INC($D$2:$D$246,0.4),3,
D104&gt;=_xlfn.PERCENTILE.INC($D$2:$D$246,0.2),2,
TRUE,1
)</f>
        <v>4</v>
      </c>
      <c r="H104">
        <f t="shared" si="1"/>
        <v>9</v>
      </c>
      <c r="I104" t="str" cm="1">
        <f t="array" ref="I104">_xlfn.IFS(H104&gt;=13,"Best Customers",H104&gt;=10,"Loyal Customers",H104&gt;=7,"Potential Loyal Customers",H104&gt;=4,"Need Attention",TRUE,"At Risk")</f>
        <v>Potential Loyal Customers</v>
      </c>
    </row>
    <row r="105" spans="1:9" x14ac:dyDescent="0.25">
      <c r="A105" t="s">
        <v>948</v>
      </c>
      <c r="B105" s="5">
        <v>350</v>
      </c>
      <c r="C105" s="5">
        <v>2</v>
      </c>
      <c r="D105" s="2">
        <v>11309.900000000001</v>
      </c>
      <c r="E105" cm="1">
        <f t="array" ref="E105">_xlfn.IFS(
B105&lt;=_xlfn.PERCENTILE.INC($B$2:$B$246,0.2),5,
B105&lt;=_xlfn.PERCENTILE.INC($B$2:$B$246,0.4),4,
B105&lt;=_xlfn.PERCENTILE.INC($B$2:$B$246,0.6),3,
B105&lt;=_xlfn.PERCENTILE.INC($B$2:$B$246,0.8),2,
TRUE,1
)</f>
        <v>1</v>
      </c>
      <c r="F105" cm="1">
        <f t="array" ref="F105">_xlfn.IFS(
C105&gt;=_xlfn.PERCENTILE.INC($C$2:$C$246,0.8),5,
C105&gt;=_xlfn.PERCENTILE.INC($C$2:$C$246,0.6),4,
C105&gt;=_xlfn.PERCENTILE.INC($C$2:$C$246,0.4),3,
C105&gt;=_xlfn.PERCENTILE.INC($C$2:$C$246,0.2),2,
TRUE,1
)</f>
        <v>2</v>
      </c>
      <c r="G105" cm="1">
        <f t="array" ref="G105">_xlfn.IFS(
D105&gt;=_xlfn.PERCENTILE.INC($D$2:$D$246,0.8),5,
D105&gt;=_xlfn.PERCENTILE.INC($D$2:$D$246,0.6),4,
D105&gt;=_xlfn.PERCENTILE.INC($D$2:$D$246,0.4),3,
D105&gt;=_xlfn.PERCENTILE.INC($D$2:$D$246,0.2),2,
TRUE,1
)</f>
        <v>2</v>
      </c>
      <c r="H105">
        <f t="shared" si="1"/>
        <v>5</v>
      </c>
      <c r="I105" t="str" cm="1">
        <f t="array" ref="I105">_xlfn.IFS(H105&gt;=13,"Best Customers",H105&gt;=10,"Loyal Customers",H105&gt;=7,"Potential Loyal Customers",H105&gt;=4,"Need Attention",TRUE,"At Risk")</f>
        <v>Need Attention</v>
      </c>
    </row>
    <row r="106" spans="1:9" x14ac:dyDescent="0.25">
      <c r="A106" t="s">
        <v>559</v>
      </c>
      <c r="B106" s="5">
        <v>147</v>
      </c>
      <c r="C106" s="5">
        <v>2</v>
      </c>
      <c r="D106" s="2">
        <v>5048.83</v>
      </c>
      <c r="E106" cm="1">
        <f t="array" ref="E106">_xlfn.IFS(
B106&lt;=_xlfn.PERCENTILE.INC($B$2:$B$246,0.2),5,
B106&lt;=_xlfn.PERCENTILE.INC($B$2:$B$246,0.4),4,
B106&lt;=_xlfn.PERCENTILE.INC($B$2:$B$246,0.6),3,
B106&lt;=_xlfn.PERCENTILE.INC($B$2:$B$246,0.8),2,
TRUE,1
)</f>
        <v>3</v>
      </c>
      <c r="F106" cm="1">
        <f t="array" ref="F106">_xlfn.IFS(
C106&gt;=_xlfn.PERCENTILE.INC($C$2:$C$246,0.8),5,
C106&gt;=_xlfn.PERCENTILE.INC($C$2:$C$246,0.6),4,
C106&gt;=_xlfn.PERCENTILE.INC($C$2:$C$246,0.4),3,
C106&gt;=_xlfn.PERCENTILE.INC($C$2:$C$246,0.2),2,
TRUE,1
)</f>
        <v>2</v>
      </c>
      <c r="G106" cm="1">
        <f t="array" ref="G106">_xlfn.IFS(
D106&gt;=_xlfn.PERCENTILE.INC($D$2:$D$246,0.8),5,
D106&gt;=_xlfn.PERCENTILE.INC($D$2:$D$246,0.6),4,
D106&gt;=_xlfn.PERCENTILE.INC($D$2:$D$246,0.4),3,
D106&gt;=_xlfn.PERCENTILE.INC($D$2:$D$246,0.2),2,
TRUE,1
)</f>
        <v>1</v>
      </c>
      <c r="H106">
        <f t="shared" si="1"/>
        <v>6</v>
      </c>
      <c r="I106" t="str" cm="1">
        <f t="array" ref="I106">_xlfn.IFS(H106&gt;=13,"Best Customers",H106&gt;=10,"Loyal Customers",H106&gt;=7,"Potential Loyal Customers",H106&gt;=4,"Need Attention",TRUE,"At Risk")</f>
        <v>Need Attention</v>
      </c>
    </row>
    <row r="107" spans="1:9" x14ac:dyDescent="0.25">
      <c r="A107" t="s">
        <v>18</v>
      </c>
      <c r="B107" s="5">
        <v>203</v>
      </c>
      <c r="C107" s="5">
        <v>3</v>
      </c>
      <c r="D107" s="2">
        <v>10926.93</v>
      </c>
      <c r="E107" cm="1">
        <f t="array" ref="E107">_xlfn.IFS(
B107&lt;=_xlfn.PERCENTILE.INC($B$2:$B$246,0.2),5,
B107&lt;=_xlfn.PERCENTILE.INC($B$2:$B$246,0.4),4,
B107&lt;=_xlfn.PERCENTILE.INC($B$2:$B$246,0.6),3,
B107&lt;=_xlfn.PERCENTILE.INC($B$2:$B$246,0.8),2,
TRUE,1
)</f>
        <v>2</v>
      </c>
      <c r="F107" cm="1">
        <f t="array" ref="F107">_xlfn.IFS(
C107&gt;=_xlfn.PERCENTILE.INC($C$2:$C$246,0.8),5,
C107&gt;=_xlfn.PERCENTILE.INC($C$2:$C$246,0.6),4,
C107&gt;=_xlfn.PERCENTILE.INC($C$2:$C$246,0.4),3,
C107&gt;=_xlfn.PERCENTILE.INC($C$2:$C$246,0.2),2,
TRUE,1
)</f>
        <v>3</v>
      </c>
      <c r="G107" cm="1">
        <f t="array" ref="G107">_xlfn.IFS(
D107&gt;=_xlfn.PERCENTILE.INC($D$2:$D$246,0.8),5,
D107&gt;=_xlfn.PERCENTILE.INC($D$2:$D$246,0.6),4,
D107&gt;=_xlfn.PERCENTILE.INC($D$2:$D$246,0.4),3,
D107&gt;=_xlfn.PERCENTILE.INC($D$2:$D$246,0.2),2,
TRUE,1
)</f>
        <v>2</v>
      </c>
      <c r="H107">
        <f t="shared" si="1"/>
        <v>7</v>
      </c>
      <c r="I107" t="str" cm="1">
        <f t="array" ref="I107">_xlfn.IFS(H107&gt;=13,"Best Customers",H107&gt;=10,"Loyal Customers",H107&gt;=7,"Potential Loyal Customers",H107&gt;=4,"Need Attention",TRUE,"At Risk")</f>
        <v>Potential Loyal Customers</v>
      </c>
    </row>
    <row r="108" spans="1:9" x14ac:dyDescent="0.25">
      <c r="A108" t="s">
        <v>614</v>
      </c>
      <c r="B108" s="5">
        <v>86</v>
      </c>
      <c r="C108" s="5">
        <v>6</v>
      </c>
      <c r="D108" s="2">
        <v>39724.119999999995</v>
      </c>
      <c r="E108" cm="1">
        <f t="array" ref="E108">_xlfn.IFS(
B108&lt;=_xlfn.PERCENTILE.INC($B$2:$B$246,0.2),5,
B108&lt;=_xlfn.PERCENTILE.INC($B$2:$B$246,0.4),4,
B108&lt;=_xlfn.PERCENTILE.INC($B$2:$B$246,0.6),3,
B108&lt;=_xlfn.PERCENTILE.INC($B$2:$B$246,0.8),2,
TRUE,1
)</f>
        <v>4</v>
      </c>
      <c r="F108" cm="1">
        <f t="array" ref="F108">_xlfn.IFS(
C108&gt;=_xlfn.PERCENTILE.INC($C$2:$C$246,0.8),5,
C108&gt;=_xlfn.PERCENTILE.INC($C$2:$C$246,0.6),4,
C108&gt;=_xlfn.PERCENTILE.INC($C$2:$C$246,0.4),3,
C108&gt;=_xlfn.PERCENTILE.INC($C$2:$C$246,0.2),2,
TRUE,1
)</f>
        <v>5</v>
      </c>
      <c r="G108" cm="1">
        <f t="array" ref="G108">_xlfn.IFS(
D108&gt;=_xlfn.PERCENTILE.INC($D$2:$D$246,0.8),5,
D108&gt;=_xlfn.PERCENTILE.INC($D$2:$D$246,0.6),4,
D108&gt;=_xlfn.PERCENTILE.INC($D$2:$D$246,0.4),3,
D108&gt;=_xlfn.PERCENTILE.INC($D$2:$D$246,0.2),2,
TRUE,1
)</f>
        <v>5</v>
      </c>
      <c r="H108">
        <f t="shared" si="1"/>
        <v>14</v>
      </c>
      <c r="I108" t="str" cm="1">
        <f t="array" ref="I108">_xlfn.IFS(H108&gt;=13,"Best Customers",H108&gt;=10,"Loyal Customers",H108&gt;=7,"Potential Loyal Customers",H108&gt;=4,"Need Attention",TRUE,"At Risk")</f>
        <v>Best Customers</v>
      </c>
    </row>
    <row r="109" spans="1:9" x14ac:dyDescent="0.25">
      <c r="A109" t="s">
        <v>469</v>
      </c>
      <c r="B109" s="5">
        <v>87</v>
      </c>
      <c r="C109" s="5">
        <v>4</v>
      </c>
      <c r="D109" s="2">
        <v>25089.85</v>
      </c>
      <c r="E109" cm="1">
        <f t="array" ref="E109">_xlfn.IFS(
B109&lt;=_xlfn.PERCENTILE.INC($B$2:$B$246,0.2),5,
B109&lt;=_xlfn.PERCENTILE.INC($B$2:$B$246,0.4),4,
B109&lt;=_xlfn.PERCENTILE.INC($B$2:$B$246,0.6),3,
B109&lt;=_xlfn.PERCENTILE.INC($B$2:$B$246,0.8),2,
TRUE,1
)</f>
        <v>4</v>
      </c>
      <c r="F109" cm="1">
        <f t="array" ref="F109">_xlfn.IFS(
C109&gt;=_xlfn.PERCENTILE.INC($C$2:$C$246,0.8),5,
C109&gt;=_xlfn.PERCENTILE.INC($C$2:$C$246,0.6),4,
C109&gt;=_xlfn.PERCENTILE.INC($C$2:$C$246,0.4),3,
C109&gt;=_xlfn.PERCENTILE.INC($C$2:$C$246,0.2),2,
TRUE,1
)</f>
        <v>3</v>
      </c>
      <c r="G109" cm="1">
        <f t="array" ref="G109">_xlfn.IFS(
D109&gt;=_xlfn.PERCENTILE.INC($D$2:$D$246,0.8),5,
D109&gt;=_xlfn.PERCENTILE.INC($D$2:$D$246,0.6),4,
D109&gt;=_xlfn.PERCENTILE.INC($D$2:$D$246,0.4),3,
D109&gt;=_xlfn.PERCENTILE.INC($D$2:$D$246,0.2),2,
TRUE,1
)</f>
        <v>4</v>
      </c>
      <c r="H109">
        <f t="shared" si="1"/>
        <v>11</v>
      </c>
      <c r="I109" t="str" cm="1">
        <f t="array" ref="I109">_xlfn.IFS(H109&gt;=13,"Best Customers",H109&gt;=10,"Loyal Customers",H109&gt;=7,"Potential Loyal Customers",H109&gt;=4,"Need Attention",TRUE,"At Risk")</f>
        <v>Loyal Customers</v>
      </c>
    </row>
    <row r="110" spans="1:9" x14ac:dyDescent="0.25">
      <c r="A110" t="s">
        <v>201</v>
      </c>
      <c r="B110" s="5">
        <v>117</v>
      </c>
      <c r="C110" s="5">
        <v>6</v>
      </c>
      <c r="D110" s="2">
        <v>27232.190000000002</v>
      </c>
      <c r="E110" cm="1">
        <f t="array" ref="E110">_xlfn.IFS(
B110&lt;=_xlfn.PERCENTILE.INC($B$2:$B$246,0.2),5,
B110&lt;=_xlfn.PERCENTILE.INC($B$2:$B$246,0.4),4,
B110&lt;=_xlfn.PERCENTILE.INC($B$2:$B$246,0.6),3,
B110&lt;=_xlfn.PERCENTILE.INC($B$2:$B$246,0.8),2,
TRUE,1
)</f>
        <v>3</v>
      </c>
      <c r="F110" cm="1">
        <f t="array" ref="F110">_xlfn.IFS(
C110&gt;=_xlfn.PERCENTILE.INC($C$2:$C$246,0.8),5,
C110&gt;=_xlfn.PERCENTILE.INC($C$2:$C$246,0.6),4,
C110&gt;=_xlfn.PERCENTILE.INC($C$2:$C$246,0.4),3,
C110&gt;=_xlfn.PERCENTILE.INC($C$2:$C$246,0.2),2,
TRUE,1
)</f>
        <v>5</v>
      </c>
      <c r="G110" cm="1">
        <f t="array" ref="G110">_xlfn.IFS(
D110&gt;=_xlfn.PERCENTILE.INC($D$2:$D$246,0.8),5,
D110&gt;=_xlfn.PERCENTILE.INC($D$2:$D$246,0.6),4,
D110&gt;=_xlfn.PERCENTILE.INC($D$2:$D$246,0.4),3,
D110&gt;=_xlfn.PERCENTILE.INC($D$2:$D$246,0.2),2,
TRUE,1
)</f>
        <v>4</v>
      </c>
      <c r="H110">
        <f t="shared" si="1"/>
        <v>12</v>
      </c>
      <c r="I110" t="str" cm="1">
        <f t="array" ref="I110">_xlfn.IFS(H110&gt;=13,"Best Customers",H110&gt;=10,"Loyal Customers",H110&gt;=7,"Potential Loyal Customers",H110&gt;=4,"Need Attention",TRUE,"At Risk")</f>
        <v>Loyal Customers</v>
      </c>
    </row>
    <row r="111" spans="1:9" x14ac:dyDescent="0.25">
      <c r="A111" t="s">
        <v>547</v>
      </c>
      <c r="B111" s="5">
        <v>17</v>
      </c>
      <c r="C111" s="5">
        <v>6</v>
      </c>
      <c r="D111" s="2">
        <v>41154.899999999994</v>
      </c>
      <c r="E111" cm="1">
        <f t="array" ref="E111">_xlfn.IFS(
B111&lt;=_xlfn.PERCENTILE.INC($B$2:$B$246,0.2),5,
B111&lt;=_xlfn.PERCENTILE.INC($B$2:$B$246,0.4),4,
B111&lt;=_xlfn.PERCENTILE.INC($B$2:$B$246,0.6),3,
B111&lt;=_xlfn.PERCENTILE.INC($B$2:$B$246,0.8),2,
TRUE,1
)</f>
        <v>5</v>
      </c>
      <c r="F111" cm="1">
        <f t="array" ref="F111">_xlfn.IFS(
C111&gt;=_xlfn.PERCENTILE.INC($C$2:$C$246,0.8),5,
C111&gt;=_xlfn.PERCENTILE.INC($C$2:$C$246,0.6),4,
C111&gt;=_xlfn.PERCENTILE.INC($C$2:$C$246,0.4),3,
C111&gt;=_xlfn.PERCENTILE.INC($C$2:$C$246,0.2),2,
TRUE,1
)</f>
        <v>5</v>
      </c>
      <c r="G111" cm="1">
        <f t="array" ref="G111">_xlfn.IFS(
D111&gt;=_xlfn.PERCENTILE.INC($D$2:$D$246,0.8),5,
D111&gt;=_xlfn.PERCENTILE.INC($D$2:$D$246,0.6),4,
D111&gt;=_xlfn.PERCENTILE.INC($D$2:$D$246,0.4),3,
D111&gt;=_xlfn.PERCENTILE.INC($D$2:$D$246,0.2),2,
TRUE,1
)</f>
        <v>5</v>
      </c>
      <c r="H111">
        <f t="shared" si="1"/>
        <v>15</v>
      </c>
      <c r="I111" t="str" cm="1">
        <f t="array" ref="I111">_xlfn.IFS(H111&gt;=13,"Best Customers",H111&gt;=10,"Loyal Customers",H111&gt;=7,"Potential Loyal Customers",H111&gt;=4,"Need Attention",TRUE,"At Risk")</f>
        <v>Best Customers</v>
      </c>
    </row>
    <row r="112" spans="1:9" x14ac:dyDescent="0.25">
      <c r="A112" t="s">
        <v>218</v>
      </c>
      <c r="B112" s="5">
        <v>12</v>
      </c>
      <c r="C112" s="5">
        <v>4</v>
      </c>
      <c r="D112" s="2">
        <v>17134.79</v>
      </c>
      <c r="E112" cm="1">
        <f t="array" ref="E112">_xlfn.IFS(
B112&lt;=_xlfn.PERCENTILE.INC($B$2:$B$246,0.2),5,
B112&lt;=_xlfn.PERCENTILE.INC($B$2:$B$246,0.4),4,
B112&lt;=_xlfn.PERCENTILE.INC($B$2:$B$246,0.6),3,
B112&lt;=_xlfn.PERCENTILE.INC($B$2:$B$246,0.8),2,
TRUE,1
)</f>
        <v>5</v>
      </c>
      <c r="F112" cm="1">
        <f t="array" ref="F112">_xlfn.IFS(
C112&gt;=_xlfn.PERCENTILE.INC($C$2:$C$246,0.8),5,
C112&gt;=_xlfn.PERCENTILE.INC($C$2:$C$246,0.6),4,
C112&gt;=_xlfn.PERCENTILE.INC($C$2:$C$246,0.4),3,
C112&gt;=_xlfn.PERCENTILE.INC($C$2:$C$246,0.2),2,
TRUE,1
)</f>
        <v>3</v>
      </c>
      <c r="G112" cm="1">
        <f t="array" ref="G112">_xlfn.IFS(
D112&gt;=_xlfn.PERCENTILE.INC($D$2:$D$246,0.8),5,
D112&gt;=_xlfn.PERCENTILE.INC($D$2:$D$246,0.6),4,
D112&gt;=_xlfn.PERCENTILE.INC($D$2:$D$246,0.4),3,
D112&gt;=_xlfn.PERCENTILE.INC($D$2:$D$246,0.2),2,
TRUE,1
)</f>
        <v>3</v>
      </c>
      <c r="H112">
        <f t="shared" si="1"/>
        <v>11</v>
      </c>
      <c r="I112" t="str" cm="1">
        <f t="array" ref="I112">_xlfn.IFS(H112&gt;=13,"Best Customers",H112&gt;=10,"Loyal Customers",H112&gt;=7,"Potential Loyal Customers",H112&gt;=4,"Need Attention",TRUE,"At Risk")</f>
        <v>Loyal Customers</v>
      </c>
    </row>
    <row r="113" spans="1:9" x14ac:dyDescent="0.25">
      <c r="A113" t="s">
        <v>76</v>
      </c>
      <c r="B113" s="5">
        <v>307</v>
      </c>
      <c r="C113" s="5">
        <v>6</v>
      </c>
      <c r="D113" s="2">
        <v>28419.94</v>
      </c>
      <c r="E113" cm="1">
        <f t="array" ref="E113">_xlfn.IFS(
B113&lt;=_xlfn.PERCENTILE.INC($B$2:$B$246,0.2),5,
B113&lt;=_xlfn.PERCENTILE.INC($B$2:$B$246,0.4),4,
B113&lt;=_xlfn.PERCENTILE.INC($B$2:$B$246,0.6),3,
B113&lt;=_xlfn.PERCENTILE.INC($B$2:$B$246,0.8),2,
TRUE,1
)</f>
        <v>1</v>
      </c>
      <c r="F113" cm="1">
        <f t="array" ref="F113">_xlfn.IFS(
C113&gt;=_xlfn.PERCENTILE.INC($C$2:$C$246,0.8),5,
C113&gt;=_xlfn.PERCENTILE.INC($C$2:$C$246,0.6),4,
C113&gt;=_xlfn.PERCENTILE.INC($C$2:$C$246,0.4),3,
C113&gt;=_xlfn.PERCENTILE.INC($C$2:$C$246,0.2),2,
TRUE,1
)</f>
        <v>5</v>
      </c>
      <c r="G113" cm="1">
        <f t="array" ref="G113">_xlfn.IFS(
D113&gt;=_xlfn.PERCENTILE.INC($D$2:$D$246,0.8),5,
D113&gt;=_xlfn.PERCENTILE.INC($D$2:$D$246,0.6),4,
D113&gt;=_xlfn.PERCENTILE.INC($D$2:$D$246,0.4),3,
D113&gt;=_xlfn.PERCENTILE.INC($D$2:$D$246,0.2),2,
TRUE,1
)</f>
        <v>4</v>
      </c>
      <c r="H113">
        <f t="shared" si="1"/>
        <v>10</v>
      </c>
      <c r="I113" t="str" cm="1">
        <f t="array" ref="I113">_xlfn.IFS(H113&gt;=13,"Best Customers",H113&gt;=10,"Loyal Customers",H113&gt;=7,"Potential Loyal Customers",H113&gt;=4,"Need Attention",TRUE,"At Risk")</f>
        <v>Loyal Customers</v>
      </c>
    </row>
    <row r="114" spans="1:9" x14ac:dyDescent="0.25">
      <c r="A114" t="s">
        <v>275</v>
      </c>
      <c r="B114" s="5">
        <v>89</v>
      </c>
      <c r="C114" s="5">
        <v>6</v>
      </c>
      <c r="D114" s="2">
        <v>39824.29</v>
      </c>
      <c r="E114" cm="1">
        <f t="array" ref="E114">_xlfn.IFS(
B114&lt;=_xlfn.PERCENTILE.INC($B$2:$B$246,0.2),5,
B114&lt;=_xlfn.PERCENTILE.INC($B$2:$B$246,0.4),4,
B114&lt;=_xlfn.PERCENTILE.INC($B$2:$B$246,0.6),3,
B114&lt;=_xlfn.PERCENTILE.INC($B$2:$B$246,0.8),2,
TRUE,1
)</f>
        <v>4</v>
      </c>
      <c r="F114" cm="1">
        <f t="array" ref="F114">_xlfn.IFS(
C114&gt;=_xlfn.PERCENTILE.INC($C$2:$C$246,0.8),5,
C114&gt;=_xlfn.PERCENTILE.INC($C$2:$C$246,0.6),4,
C114&gt;=_xlfn.PERCENTILE.INC($C$2:$C$246,0.4),3,
C114&gt;=_xlfn.PERCENTILE.INC($C$2:$C$246,0.2),2,
TRUE,1
)</f>
        <v>5</v>
      </c>
      <c r="G114" cm="1">
        <f t="array" ref="G114">_xlfn.IFS(
D114&gt;=_xlfn.PERCENTILE.INC($D$2:$D$246,0.8),5,
D114&gt;=_xlfn.PERCENTILE.INC($D$2:$D$246,0.6),4,
D114&gt;=_xlfn.PERCENTILE.INC($D$2:$D$246,0.4),3,
D114&gt;=_xlfn.PERCENTILE.INC($D$2:$D$246,0.2),2,
TRUE,1
)</f>
        <v>5</v>
      </c>
      <c r="H114">
        <f t="shared" si="1"/>
        <v>14</v>
      </c>
      <c r="I114" t="str" cm="1">
        <f t="array" ref="I114">_xlfn.IFS(H114&gt;=13,"Best Customers",H114&gt;=10,"Loyal Customers",H114&gt;=7,"Potential Loyal Customers",H114&gt;=4,"Need Attention",TRUE,"At Risk")</f>
        <v>Best Customers</v>
      </c>
    </row>
    <row r="115" spans="1:9" x14ac:dyDescent="0.25">
      <c r="A115" t="s">
        <v>382</v>
      </c>
      <c r="B115" s="5">
        <v>210</v>
      </c>
      <c r="C115" s="5">
        <v>5</v>
      </c>
      <c r="D115" s="2">
        <v>32752.22</v>
      </c>
      <c r="E115" cm="1">
        <f t="array" ref="E115">_xlfn.IFS(
B115&lt;=_xlfn.PERCENTILE.INC($B$2:$B$246,0.2),5,
B115&lt;=_xlfn.PERCENTILE.INC($B$2:$B$246,0.4),4,
B115&lt;=_xlfn.PERCENTILE.INC($B$2:$B$246,0.6),3,
B115&lt;=_xlfn.PERCENTILE.INC($B$2:$B$246,0.8),2,
TRUE,1
)</f>
        <v>2</v>
      </c>
      <c r="F115" cm="1">
        <f t="array" ref="F115">_xlfn.IFS(
C115&gt;=_xlfn.PERCENTILE.INC($C$2:$C$246,0.8),5,
C115&gt;=_xlfn.PERCENTILE.INC($C$2:$C$246,0.6),4,
C115&gt;=_xlfn.PERCENTILE.INC($C$2:$C$246,0.4),3,
C115&gt;=_xlfn.PERCENTILE.INC($C$2:$C$246,0.2),2,
TRUE,1
)</f>
        <v>4</v>
      </c>
      <c r="G115" cm="1">
        <f t="array" ref="G115">_xlfn.IFS(
D115&gt;=_xlfn.PERCENTILE.INC($D$2:$D$246,0.8),5,
D115&gt;=_xlfn.PERCENTILE.INC($D$2:$D$246,0.6),4,
D115&gt;=_xlfn.PERCENTILE.INC($D$2:$D$246,0.4),3,
D115&gt;=_xlfn.PERCENTILE.INC($D$2:$D$246,0.2),2,
TRUE,1
)</f>
        <v>5</v>
      </c>
      <c r="H115">
        <f t="shared" si="1"/>
        <v>11</v>
      </c>
      <c r="I115" t="str" cm="1">
        <f t="array" ref="I115">_xlfn.IFS(H115&gt;=13,"Best Customers",H115&gt;=10,"Loyal Customers",H115&gt;=7,"Potential Loyal Customers",H115&gt;=4,"Need Attention",TRUE,"At Risk")</f>
        <v>Loyal Customers</v>
      </c>
    </row>
    <row r="116" spans="1:9" x14ac:dyDescent="0.25">
      <c r="A116" t="s">
        <v>48</v>
      </c>
      <c r="B116" s="5">
        <v>207</v>
      </c>
      <c r="C116" s="5">
        <v>3</v>
      </c>
      <c r="D116" s="2">
        <v>12200.46</v>
      </c>
      <c r="E116" cm="1">
        <f t="array" ref="E116">_xlfn.IFS(
B116&lt;=_xlfn.PERCENTILE.INC($B$2:$B$246,0.2),5,
B116&lt;=_xlfn.PERCENTILE.INC($B$2:$B$246,0.4),4,
B116&lt;=_xlfn.PERCENTILE.INC($B$2:$B$246,0.6),3,
B116&lt;=_xlfn.PERCENTILE.INC($B$2:$B$246,0.8),2,
TRUE,1
)</f>
        <v>2</v>
      </c>
      <c r="F116" cm="1">
        <f t="array" ref="F116">_xlfn.IFS(
C116&gt;=_xlfn.PERCENTILE.INC($C$2:$C$246,0.8),5,
C116&gt;=_xlfn.PERCENTILE.INC($C$2:$C$246,0.6),4,
C116&gt;=_xlfn.PERCENTILE.INC($C$2:$C$246,0.4),3,
C116&gt;=_xlfn.PERCENTILE.INC($C$2:$C$246,0.2),2,
TRUE,1
)</f>
        <v>3</v>
      </c>
      <c r="G116" cm="1">
        <f t="array" ref="G116">_xlfn.IFS(
D116&gt;=_xlfn.PERCENTILE.INC($D$2:$D$246,0.8),5,
D116&gt;=_xlfn.PERCENTILE.INC($D$2:$D$246,0.6),4,
D116&gt;=_xlfn.PERCENTILE.INC($D$2:$D$246,0.4),3,
D116&gt;=_xlfn.PERCENTILE.INC($D$2:$D$246,0.2),2,
TRUE,1
)</f>
        <v>2</v>
      </c>
      <c r="H116">
        <f t="shared" si="1"/>
        <v>7</v>
      </c>
      <c r="I116" t="str" cm="1">
        <f t="array" ref="I116">_xlfn.IFS(H116&gt;=13,"Best Customers",H116&gt;=10,"Loyal Customers",H116&gt;=7,"Potential Loyal Customers",H116&gt;=4,"Need Attention",TRUE,"At Risk")</f>
        <v>Potential Loyal Customers</v>
      </c>
    </row>
    <row r="117" spans="1:9" x14ac:dyDescent="0.25">
      <c r="A117" t="s">
        <v>654</v>
      </c>
      <c r="B117" s="5">
        <v>174</v>
      </c>
      <c r="C117" s="5">
        <v>3</v>
      </c>
      <c r="D117" s="2">
        <v>8553.52</v>
      </c>
      <c r="E117" cm="1">
        <f t="array" ref="E117">_xlfn.IFS(
B117&lt;=_xlfn.PERCENTILE.INC($B$2:$B$246,0.2),5,
B117&lt;=_xlfn.PERCENTILE.INC($B$2:$B$246,0.4),4,
B117&lt;=_xlfn.PERCENTILE.INC($B$2:$B$246,0.6),3,
B117&lt;=_xlfn.PERCENTILE.INC($B$2:$B$246,0.8),2,
TRUE,1
)</f>
        <v>2</v>
      </c>
      <c r="F117" cm="1">
        <f t="array" ref="F117">_xlfn.IFS(
C117&gt;=_xlfn.PERCENTILE.INC($C$2:$C$246,0.8),5,
C117&gt;=_xlfn.PERCENTILE.INC($C$2:$C$246,0.6),4,
C117&gt;=_xlfn.PERCENTILE.INC($C$2:$C$246,0.4),3,
C117&gt;=_xlfn.PERCENTILE.INC($C$2:$C$246,0.2),2,
TRUE,1
)</f>
        <v>3</v>
      </c>
      <c r="G117" cm="1">
        <f t="array" ref="G117">_xlfn.IFS(
D117&gt;=_xlfn.PERCENTILE.INC($D$2:$D$246,0.8),5,
D117&gt;=_xlfn.PERCENTILE.INC($D$2:$D$246,0.6),4,
D117&gt;=_xlfn.PERCENTILE.INC($D$2:$D$246,0.4),3,
D117&gt;=_xlfn.PERCENTILE.INC($D$2:$D$246,0.2),2,
TRUE,1
)</f>
        <v>1</v>
      </c>
      <c r="H117">
        <f t="shared" si="1"/>
        <v>6</v>
      </c>
      <c r="I117" t="str" cm="1">
        <f t="array" ref="I117">_xlfn.IFS(H117&gt;=13,"Best Customers",H117&gt;=10,"Loyal Customers",H117&gt;=7,"Potential Loyal Customers",H117&gt;=4,"Need Attention",TRUE,"At Risk")</f>
        <v>Need Attention</v>
      </c>
    </row>
    <row r="118" spans="1:9" x14ac:dyDescent="0.25">
      <c r="A118" t="s">
        <v>110</v>
      </c>
      <c r="B118" s="5">
        <v>147</v>
      </c>
      <c r="C118" s="5">
        <v>7</v>
      </c>
      <c r="D118" s="2">
        <v>33360.949999999997</v>
      </c>
      <c r="E118" cm="1">
        <f t="array" ref="E118">_xlfn.IFS(
B118&lt;=_xlfn.PERCENTILE.INC($B$2:$B$246,0.2),5,
B118&lt;=_xlfn.PERCENTILE.INC($B$2:$B$246,0.4),4,
B118&lt;=_xlfn.PERCENTILE.INC($B$2:$B$246,0.6),3,
B118&lt;=_xlfn.PERCENTILE.INC($B$2:$B$246,0.8),2,
TRUE,1
)</f>
        <v>3</v>
      </c>
      <c r="F118" cm="1">
        <f t="array" ref="F118">_xlfn.IFS(
C118&gt;=_xlfn.PERCENTILE.INC($C$2:$C$246,0.8),5,
C118&gt;=_xlfn.PERCENTILE.INC($C$2:$C$246,0.6),4,
C118&gt;=_xlfn.PERCENTILE.INC($C$2:$C$246,0.4),3,
C118&gt;=_xlfn.PERCENTILE.INC($C$2:$C$246,0.2),2,
TRUE,1
)</f>
        <v>5</v>
      </c>
      <c r="G118" cm="1">
        <f t="array" ref="G118">_xlfn.IFS(
D118&gt;=_xlfn.PERCENTILE.INC($D$2:$D$246,0.8),5,
D118&gt;=_xlfn.PERCENTILE.INC($D$2:$D$246,0.6),4,
D118&gt;=_xlfn.PERCENTILE.INC($D$2:$D$246,0.4),3,
D118&gt;=_xlfn.PERCENTILE.INC($D$2:$D$246,0.2),2,
TRUE,1
)</f>
        <v>5</v>
      </c>
      <c r="H118">
        <f t="shared" si="1"/>
        <v>13</v>
      </c>
      <c r="I118" t="str" cm="1">
        <f t="array" ref="I118">_xlfn.IFS(H118&gt;=13,"Best Customers",H118&gt;=10,"Loyal Customers",H118&gt;=7,"Potential Loyal Customers",H118&gt;=4,"Need Attention",TRUE,"At Risk")</f>
        <v>Best Customers</v>
      </c>
    </row>
    <row r="119" spans="1:9" x14ac:dyDescent="0.25">
      <c r="A119" t="s">
        <v>790</v>
      </c>
      <c r="B119" s="5">
        <v>170</v>
      </c>
      <c r="C119" s="5">
        <v>3</v>
      </c>
      <c r="D119" s="2">
        <v>17948.939999999999</v>
      </c>
      <c r="E119" cm="1">
        <f t="array" ref="E119">_xlfn.IFS(
B119&lt;=_xlfn.PERCENTILE.INC($B$2:$B$246,0.2),5,
B119&lt;=_xlfn.PERCENTILE.INC($B$2:$B$246,0.4),4,
B119&lt;=_xlfn.PERCENTILE.INC($B$2:$B$246,0.6),3,
B119&lt;=_xlfn.PERCENTILE.INC($B$2:$B$246,0.8),2,
TRUE,1
)</f>
        <v>3</v>
      </c>
      <c r="F119" cm="1">
        <f t="array" ref="F119">_xlfn.IFS(
C119&gt;=_xlfn.PERCENTILE.INC($C$2:$C$246,0.8),5,
C119&gt;=_xlfn.PERCENTILE.INC($C$2:$C$246,0.6),4,
C119&gt;=_xlfn.PERCENTILE.INC($C$2:$C$246,0.4),3,
C119&gt;=_xlfn.PERCENTILE.INC($C$2:$C$246,0.2),2,
TRUE,1
)</f>
        <v>3</v>
      </c>
      <c r="G119" cm="1">
        <f t="array" ref="G119">_xlfn.IFS(
D119&gt;=_xlfn.PERCENTILE.INC($D$2:$D$246,0.8),5,
D119&gt;=_xlfn.PERCENTILE.INC($D$2:$D$246,0.6),4,
D119&gt;=_xlfn.PERCENTILE.INC($D$2:$D$246,0.4),3,
D119&gt;=_xlfn.PERCENTILE.INC($D$2:$D$246,0.2),2,
TRUE,1
)</f>
        <v>3</v>
      </c>
      <c r="H119">
        <f t="shared" si="1"/>
        <v>9</v>
      </c>
      <c r="I119" t="str" cm="1">
        <f t="array" ref="I119">_xlfn.IFS(H119&gt;=13,"Best Customers",H119&gt;=10,"Loyal Customers",H119&gt;=7,"Potential Loyal Customers",H119&gt;=4,"Need Attention",TRUE,"At Risk")</f>
        <v>Potential Loyal Customers</v>
      </c>
    </row>
    <row r="120" spans="1:9" x14ac:dyDescent="0.25">
      <c r="A120" t="s">
        <v>102</v>
      </c>
      <c r="B120" s="5">
        <v>255</v>
      </c>
      <c r="C120" s="5">
        <v>3</v>
      </c>
      <c r="D120" s="2">
        <v>5106.4900000000007</v>
      </c>
      <c r="E120" cm="1">
        <f t="array" ref="E120">_xlfn.IFS(
B120&lt;=_xlfn.PERCENTILE.INC($B$2:$B$246,0.2),5,
B120&lt;=_xlfn.PERCENTILE.INC($B$2:$B$246,0.4),4,
B120&lt;=_xlfn.PERCENTILE.INC($B$2:$B$246,0.6),3,
B120&lt;=_xlfn.PERCENTILE.INC($B$2:$B$246,0.8),2,
TRUE,1
)</f>
        <v>2</v>
      </c>
      <c r="F120" cm="1">
        <f t="array" ref="F120">_xlfn.IFS(
C120&gt;=_xlfn.PERCENTILE.INC($C$2:$C$246,0.8),5,
C120&gt;=_xlfn.PERCENTILE.INC($C$2:$C$246,0.6),4,
C120&gt;=_xlfn.PERCENTILE.INC($C$2:$C$246,0.4),3,
C120&gt;=_xlfn.PERCENTILE.INC($C$2:$C$246,0.2),2,
TRUE,1
)</f>
        <v>3</v>
      </c>
      <c r="G120" cm="1">
        <f t="array" ref="G120">_xlfn.IFS(
D120&gt;=_xlfn.PERCENTILE.INC($D$2:$D$246,0.8),5,
D120&gt;=_xlfn.PERCENTILE.INC($D$2:$D$246,0.6),4,
D120&gt;=_xlfn.PERCENTILE.INC($D$2:$D$246,0.4),3,
D120&gt;=_xlfn.PERCENTILE.INC($D$2:$D$246,0.2),2,
TRUE,1
)</f>
        <v>1</v>
      </c>
      <c r="H120">
        <f t="shared" si="1"/>
        <v>6</v>
      </c>
      <c r="I120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 x14ac:dyDescent="0.25">
      <c r="A121" t="s">
        <v>129</v>
      </c>
      <c r="B121" s="5">
        <v>283</v>
      </c>
      <c r="C121" s="5">
        <v>7</v>
      </c>
      <c r="D121" s="2">
        <v>35503.819999999992</v>
      </c>
      <c r="E121" cm="1">
        <f t="array" ref="E121">_xlfn.IFS(
B121&lt;=_xlfn.PERCENTILE.INC($B$2:$B$246,0.2),5,
B121&lt;=_xlfn.PERCENTILE.INC($B$2:$B$246,0.4),4,
B121&lt;=_xlfn.PERCENTILE.INC($B$2:$B$246,0.6),3,
B121&lt;=_xlfn.PERCENTILE.INC($B$2:$B$246,0.8),2,
TRUE,1
)</f>
        <v>1</v>
      </c>
      <c r="F121" cm="1">
        <f t="array" ref="F121">_xlfn.IFS(
C121&gt;=_xlfn.PERCENTILE.INC($C$2:$C$246,0.8),5,
C121&gt;=_xlfn.PERCENTILE.INC($C$2:$C$246,0.6),4,
C121&gt;=_xlfn.PERCENTILE.INC($C$2:$C$246,0.4),3,
C121&gt;=_xlfn.PERCENTILE.INC($C$2:$C$246,0.2),2,
TRUE,1
)</f>
        <v>5</v>
      </c>
      <c r="G121" cm="1">
        <f t="array" ref="G121">_xlfn.IFS(
D121&gt;=_xlfn.PERCENTILE.INC($D$2:$D$246,0.8),5,
D121&gt;=_xlfn.PERCENTILE.INC($D$2:$D$246,0.6),4,
D121&gt;=_xlfn.PERCENTILE.INC($D$2:$D$246,0.4),3,
D121&gt;=_xlfn.PERCENTILE.INC($D$2:$D$246,0.2),2,
TRUE,1
)</f>
        <v>5</v>
      </c>
      <c r="H121">
        <f t="shared" si="1"/>
        <v>11</v>
      </c>
      <c r="I121" t="str" cm="1">
        <f t="array" ref="I121">_xlfn.IFS(H121&gt;=13,"Best Customers",H121&gt;=10,"Loyal Customers",H121&gt;=7,"Potential Loyal Customers",H121&gt;=4,"Need Attention",TRUE,"At Risk")</f>
        <v>Loyal Customers</v>
      </c>
    </row>
    <row r="122" spans="1:9" x14ac:dyDescent="0.25">
      <c r="A122" t="s">
        <v>154</v>
      </c>
      <c r="B122" s="5">
        <v>29</v>
      </c>
      <c r="C122" s="5">
        <v>2</v>
      </c>
      <c r="D122" s="2">
        <v>10463.65</v>
      </c>
      <c r="E122" cm="1">
        <f t="array" ref="E122">_xlfn.IFS(
B122&lt;=_xlfn.PERCENTILE.INC($B$2:$B$246,0.2),5,
B122&lt;=_xlfn.PERCENTILE.INC($B$2:$B$246,0.4),4,
B122&lt;=_xlfn.PERCENTILE.INC($B$2:$B$246,0.6),3,
B122&lt;=_xlfn.PERCENTILE.INC($B$2:$B$246,0.8),2,
TRUE,1
)</f>
        <v>5</v>
      </c>
      <c r="F122" cm="1">
        <f t="array" ref="F122">_xlfn.IFS(
C122&gt;=_xlfn.PERCENTILE.INC($C$2:$C$246,0.8),5,
C122&gt;=_xlfn.PERCENTILE.INC($C$2:$C$246,0.6),4,
C122&gt;=_xlfn.PERCENTILE.INC($C$2:$C$246,0.4),3,
C122&gt;=_xlfn.PERCENTILE.INC($C$2:$C$246,0.2),2,
TRUE,1
)</f>
        <v>2</v>
      </c>
      <c r="G122" cm="1">
        <f t="array" ref="G122">_xlfn.IFS(
D122&gt;=_xlfn.PERCENTILE.INC($D$2:$D$246,0.8),5,
D122&gt;=_xlfn.PERCENTILE.INC($D$2:$D$246,0.6),4,
D122&gt;=_xlfn.PERCENTILE.INC($D$2:$D$246,0.4),3,
D122&gt;=_xlfn.PERCENTILE.INC($D$2:$D$246,0.2),2,
TRUE,1
)</f>
        <v>2</v>
      </c>
      <c r="H122">
        <f t="shared" si="1"/>
        <v>9</v>
      </c>
      <c r="I122" t="str" cm="1">
        <f t="array" ref="I122">_xlfn.IFS(H122&gt;=13,"Best Customers",H122&gt;=10,"Loyal Customers",H122&gt;=7,"Potential Loyal Customers",H122&gt;=4,"Need Attention",TRUE,"At Risk")</f>
        <v>Potential Loyal Customers</v>
      </c>
    </row>
    <row r="123" spans="1:9" x14ac:dyDescent="0.25">
      <c r="A123" t="s">
        <v>455</v>
      </c>
      <c r="B123" s="5">
        <v>47</v>
      </c>
      <c r="C123" s="5">
        <v>5</v>
      </c>
      <c r="D123" s="2">
        <v>13444.85</v>
      </c>
      <c r="E123" cm="1">
        <f t="array" ref="E123">_xlfn.IFS(
B123&lt;=_xlfn.PERCENTILE.INC($B$2:$B$246,0.2),5,
B123&lt;=_xlfn.PERCENTILE.INC($B$2:$B$246,0.4),4,
B123&lt;=_xlfn.PERCENTILE.INC($B$2:$B$246,0.6),3,
B123&lt;=_xlfn.PERCENTILE.INC($B$2:$B$246,0.8),2,
TRUE,1
)</f>
        <v>4</v>
      </c>
      <c r="F123" cm="1">
        <f t="array" ref="F123">_xlfn.IFS(
C123&gt;=_xlfn.PERCENTILE.INC($C$2:$C$246,0.8),5,
C123&gt;=_xlfn.PERCENTILE.INC($C$2:$C$246,0.6),4,
C123&gt;=_xlfn.PERCENTILE.INC($C$2:$C$246,0.4),3,
C123&gt;=_xlfn.PERCENTILE.INC($C$2:$C$246,0.2),2,
TRUE,1
)</f>
        <v>4</v>
      </c>
      <c r="G123" cm="1">
        <f t="array" ref="G123">_xlfn.IFS(
D123&gt;=_xlfn.PERCENTILE.INC($D$2:$D$246,0.8),5,
D123&gt;=_xlfn.PERCENTILE.INC($D$2:$D$246,0.6),4,
D123&gt;=_xlfn.PERCENTILE.INC($D$2:$D$246,0.4),3,
D123&gt;=_xlfn.PERCENTILE.INC($D$2:$D$246,0.2),2,
TRUE,1
)</f>
        <v>2</v>
      </c>
      <c r="H123">
        <f t="shared" si="1"/>
        <v>10</v>
      </c>
      <c r="I123" t="str" cm="1">
        <f t="array" ref="I123">_xlfn.IFS(H123&gt;=13,"Best Customers",H123&gt;=10,"Loyal Customers",H123&gt;=7,"Potential Loyal Customers",H123&gt;=4,"Need Attention",TRUE,"At Risk")</f>
        <v>Loyal Customers</v>
      </c>
    </row>
    <row r="124" spans="1:9" x14ac:dyDescent="0.25">
      <c r="A124" t="s">
        <v>446</v>
      </c>
      <c r="B124" s="5">
        <v>51</v>
      </c>
      <c r="C124" s="5">
        <v>5</v>
      </c>
      <c r="D124" s="2">
        <v>19807.47</v>
      </c>
      <c r="E124" cm="1">
        <f t="array" ref="E124">_xlfn.IFS(
B124&lt;=_xlfn.PERCENTILE.INC($B$2:$B$246,0.2),5,
B124&lt;=_xlfn.PERCENTILE.INC($B$2:$B$246,0.4),4,
B124&lt;=_xlfn.PERCENTILE.INC($B$2:$B$246,0.6),3,
B124&lt;=_xlfn.PERCENTILE.INC($B$2:$B$246,0.8),2,
TRUE,1
)</f>
        <v>4</v>
      </c>
      <c r="F124" cm="1">
        <f t="array" ref="F124">_xlfn.IFS(
C124&gt;=_xlfn.PERCENTILE.INC($C$2:$C$246,0.8),5,
C124&gt;=_xlfn.PERCENTILE.INC($C$2:$C$246,0.6),4,
C124&gt;=_xlfn.PERCENTILE.INC($C$2:$C$246,0.4),3,
C124&gt;=_xlfn.PERCENTILE.INC($C$2:$C$246,0.2),2,
TRUE,1
)</f>
        <v>4</v>
      </c>
      <c r="G124" cm="1">
        <f t="array" ref="G124">_xlfn.IFS(
D124&gt;=_xlfn.PERCENTILE.INC($D$2:$D$246,0.8),5,
D124&gt;=_xlfn.PERCENTILE.INC($D$2:$D$246,0.6),4,
D124&gt;=_xlfn.PERCENTILE.INC($D$2:$D$246,0.4),3,
D124&gt;=_xlfn.PERCENTILE.INC($D$2:$D$246,0.2),2,
TRUE,1
)</f>
        <v>3</v>
      </c>
      <c r="H124">
        <f t="shared" si="1"/>
        <v>11</v>
      </c>
      <c r="I124" t="str" cm="1">
        <f t="array" ref="I124">_xlfn.IFS(H124&gt;=13,"Best Customers",H124&gt;=10,"Loyal Customers",H124&gt;=7,"Potential Loyal Customers",H124&gt;=4,"Need Attention",TRUE,"At Risk")</f>
        <v>Loyal Customers</v>
      </c>
    </row>
    <row r="125" spans="1:9" x14ac:dyDescent="0.25">
      <c r="A125" t="s">
        <v>467</v>
      </c>
      <c r="B125" s="5">
        <v>193</v>
      </c>
      <c r="C125" s="5">
        <v>6</v>
      </c>
      <c r="D125" s="2">
        <v>35115.829999999994</v>
      </c>
      <c r="E125" cm="1">
        <f t="array" ref="E125">_xlfn.IFS(
B125&lt;=_xlfn.PERCENTILE.INC($B$2:$B$246,0.2),5,
B125&lt;=_xlfn.PERCENTILE.INC($B$2:$B$246,0.4),4,
B125&lt;=_xlfn.PERCENTILE.INC($B$2:$B$246,0.6),3,
B125&lt;=_xlfn.PERCENTILE.INC($B$2:$B$246,0.8),2,
TRUE,1
)</f>
        <v>2</v>
      </c>
      <c r="F125" cm="1">
        <f t="array" ref="F125">_xlfn.IFS(
C125&gt;=_xlfn.PERCENTILE.INC($C$2:$C$246,0.8),5,
C125&gt;=_xlfn.PERCENTILE.INC($C$2:$C$246,0.6),4,
C125&gt;=_xlfn.PERCENTILE.INC($C$2:$C$246,0.4),3,
C125&gt;=_xlfn.PERCENTILE.INC($C$2:$C$246,0.2),2,
TRUE,1
)</f>
        <v>5</v>
      </c>
      <c r="G125" cm="1">
        <f t="array" ref="G125">_xlfn.IFS(
D125&gt;=_xlfn.PERCENTILE.INC($D$2:$D$246,0.8),5,
D125&gt;=_xlfn.PERCENTILE.INC($D$2:$D$246,0.6),4,
D125&gt;=_xlfn.PERCENTILE.INC($D$2:$D$246,0.4),3,
D125&gt;=_xlfn.PERCENTILE.INC($D$2:$D$246,0.2),2,
TRUE,1
)</f>
        <v>5</v>
      </c>
      <c r="H125">
        <f t="shared" si="1"/>
        <v>12</v>
      </c>
      <c r="I125" t="str" cm="1">
        <f t="array" ref="I125">_xlfn.IFS(H125&gt;=13,"Best Customers",H125&gt;=10,"Loyal Customers",H125&gt;=7,"Potential Loyal Customers",H125&gt;=4,"Need Attention",TRUE,"At Risk")</f>
        <v>Loyal Customers</v>
      </c>
    </row>
    <row r="126" spans="1:9" x14ac:dyDescent="0.25">
      <c r="A126" t="s">
        <v>503</v>
      </c>
      <c r="B126" s="5">
        <v>151</v>
      </c>
      <c r="C126" s="5">
        <v>6</v>
      </c>
      <c r="D126" s="2">
        <v>31003.290000000005</v>
      </c>
      <c r="E126" cm="1">
        <f t="array" ref="E126">_xlfn.IFS(
B126&lt;=_xlfn.PERCENTILE.INC($B$2:$B$246,0.2),5,
B126&lt;=_xlfn.PERCENTILE.INC($B$2:$B$246,0.4),4,
B126&lt;=_xlfn.PERCENTILE.INC($B$2:$B$246,0.6),3,
B126&lt;=_xlfn.PERCENTILE.INC($B$2:$B$246,0.8),2,
TRUE,1
)</f>
        <v>3</v>
      </c>
      <c r="F126" cm="1">
        <f t="array" ref="F126">_xlfn.IFS(
C126&gt;=_xlfn.PERCENTILE.INC($C$2:$C$246,0.8),5,
C126&gt;=_xlfn.PERCENTILE.INC($C$2:$C$246,0.6),4,
C126&gt;=_xlfn.PERCENTILE.INC($C$2:$C$246,0.4),3,
C126&gt;=_xlfn.PERCENTILE.INC($C$2:$C$246,0.2),2,
TRUE,1
)</f>
        <v>5</v>
      </c>
      <c r="G126" cm="1">
        <f t="array" ref="G126">_xlfn.IFS(
D126&gt;=_xlfn.PERCENTILE.INC($D$2:$D$246,0.8),5,
D126&gt;=_xlfn.PERCENTILE.INC($D$2:$D$246,0.6),4,
D126&gt;=_xlfn.PERCENTILE.INC($D$2:$D$246,0.4),3,
D126&gt;=_xlfn.PERCENTILE.INC($D$2:$D$246,0.2),2,
TRUE,1
)</f>
        <v>5</v>
      </c>
      <c r="H126">
        <f t="shared" si="1"/>
        <v>13</v>
      </c>
      <c r="I126" t="str" cm="1">
        <f t="array" ref="I126">_xlfn.IFS(H126&gt;=13,"Best Customers",H126&gt;=10,"Loyal Customers",H126&gt;=7,"Potential Loyal Customers",H126&gt;=4,"Need Attention",TRUE,"At Risk")</f>
        <v>Best Customers</v>
      </c>
    </row>
    <row r="127" spans="1:9" x14ac:dyDescent="0.25">
      <c r="A127" t="s">
        <v>127</v>
      </c>
      <c r="B127" s="5">
        <v>136</v>
      </c>
      <c r="C127" s="5">
        <v>4</v>
      </c>
      <c r="D127" s="2">
        <v>12901.78</v>
      </c>
      <c r="E127" cm="1">
        <f t="array" ref="E127">_xlfn.IFS(
B127&lt;=_xlfn.PERCENTILE.INC($B$2:$B$246,0.2),5,
B127&lt;=_xlfn.PERCENTILE.INC($B$2:$B$246,0.4),4,
B127&lt;=_xlfn.PERCENTILE.INC($B$2:$B$246,0.6),3,
B127&lt;=_xlfn.PERCENTILE.INC($B$2:$B$246,0.8),2,
TRUE,1
)</f>
        <v>3</v>
      </c>
      <c r="F127" cm="1">
        <f t="array" ref="F127">_xlfn.IFS(
C127&gt;=_xlfn.PERCENTILE.INC($C$2:$C$246,0.8),5,
C127&gt;=_xlfn.PERCENTILE.INC($C$2:$C$246,0.6),4,
C127&gt;=_xlfn.PERCENTILE.INC($C$2:$C$246,0.4),3,
C127&gt;=_xlfn.PERCENTILE.INC($C$2:$C$246,0.2),2,
TRUE,1
)</f>
        <v>3</v>
      </c>
      <c r="G127" cm="1">
        <f t="array" ref="G127">_xlfn.IFS(
D127&gt;=_xlfn.PERCENTILE.INC($D$2:$D$246,0.8),5,
D127&gt;=_xlfn.PERCENTILE.INC($D$2:$D$246,0.6),4,
D127&gt;=_xlfn.PERCENTILE.INC($D$2:$D$246,0.4),3,
D127&gt;=_xlfn.PERCENTILE.INC($D$2:$D$246,0.2),2,
TRUE,1
)</f>
        <v>2</v>
      </c>
      <c r="H127">
        <f t="shared" si="1"/>
        <v>8</v>
      </c>
      <c r="I127" t="str" cm="1">
        <f t="array" ref="I127">_xlfn.IFS(H127&gt;=13,"Best Customers",H127&gt;=10,"Loyal Customers",H127&gt;=7,"Potential Loyal Customers",H127&gt;=4,"Need Attention",TRUE,"At Risk")</f>
        <v>Potential Loyal Customers</v>
      </c>
    </row>
    <row r="128" spans="1:9" x14ac:dyDescent="0.25">
      <c r="A128" t="s">
        <v>952</v>
      </c>
      <c r="B128" s="5">
        <v>60</v>
      </c>
      <c r="C128" s="5">
        <v>3</v>
      </c>
      <c r="D128" s="2">
        <v>15367.3</v>
      </c>
      <c r="E128" cm="1">
        <f t="array" ref="E128">_xlfn.IFS(
B128&lt;=_xlfn.PERCENTILE.INC($B$2:$B$246,0.2),5,
B128&lt;=_xlfn.PERCENTILE.INC($B$2:$B$246,0.4),4,
B128&lt;=_xlfn.PERCENTILE.INC($B$2:$B$246,0.6),3,
B128&lt;=_xlfn.PERCENTILE.INC($B$2:$B$246,0.8),2,
TRUE,1
)</f>
        <v>4</v>
      </c>
      <c r="F128" cm="1">
        <f t="array" ref="F128">_xlfn.IFS(
C128&gt;=_xlfn.PERCENTILE.INC($C$2:$C$246,0.8),5,
C128&gt;=_xlfn.PERCENTILE.INC($C$2:$C$246,0.6),4,
C128&gt;=_xlfn.PERCENTILE.INC($C$2:$C$246,0.4),3,
C128&gt;=_xlfn.PERCENTILE.INC($C$2:$C$246,0.2),2,
TRUE,1
)</f>
        <v>3</v>
      </c>
      <c r="G128" cm="1">
        <f t="array" ref="G128">_xlfn.IFS(
D128&gt;=_xlfn.PERCENTILE.INC($D$2:$D$246,0.8),5,
D128&gt;=_xlfn.PERCENTILE.INC($D$2:$D$246,0.6),4,
D128&gt;=_xlfn.PERCENTILE.INC($D$2:$D$246,0.4),3,
D128&gt;=_xlfn.PERCENTILE.INC($D$2:$D$246,0.2),2,
TRUE,1
)</f>
        <v>2</v>
      </c>
      <c r="H128">
        <f t="shared" si="1"/>
        <v>9</v>
      </c>
      <c r="I128" t="str" cm="1">
        <f t="array" ref="I128">_xlfn.IFS(H128&gt;=13,"Best Customers",H128&gt;=10,"Loyal Customers",H128&gt;=7,"Potential Loyal Customers",H128&gt;=4,"Need Attention",TRUE,"At Risk")</f>
        <v>Potential Loyal Customers</v>
      </c>
    </row>
    <row r="129" spans="1:9" x14ac:dyDescent="0.25">
      <c r="A129" t="s">
        <v>566</v>
      </c>
      <c r="B129" s="5">
        <v>43</v>
      </c>
      <c r="C129" s="5">
        <v>5</v>
      </c>
      <c r="D129" s="2">
        <v>36050.659999999996</v>
      </c>
      <c r="E129" cm="1">
        <f t="array" ref="E129">_xlfn.IFS(
B129&lt;=_xlfn.PERCENTILE.INC($B$2:$B$246,0.2),5,
B129&lt;=_xlfn.PERCENTILE.INC($B$2:$B$246,0.4),4,
B129&lt;=_xlfn.PERCENTILE.INC($B$2:$B$246,0.6),3,
B129&lt;=_xlfn.PERCENTILE.INC($B$2:$B$246,0.8),2,
TRUE,1
)</f>
        <v>4</v>
      </c>
      <c r="F129" cm="1">
        <f t="array" ref="F129">_xlfn.IFS(
C129&gt;=_xlfn.PERCENTILE.INC($C$2:$C$246,0.8),5,
C129&gt;=_xlfn.PERCENTILE.INC($C$2:$C$246,0.6),4,
C129&gt;=_xlfn.PERCENTILE.INC($C$2:$C$246,0.4),3,
C129&gt;=_xlfn.PERCENTILE.INC($C$2:$C$246,0.2),2,
TRUE,1
)</f>
        <v>4</v>
      </c>
      <c r="G129" cm="1">
        <f t="array" ref="G129">_xlfn.IFS(
D129&gt;=_xlfn.PERCENTILE.INC($D$2:$D$246,0.8),5,
D129&gt;=_xlfn.PERCENTILE.INC($D$2:$D$246,0.6),4,
D129&gt;=_xlfn.PERCENTILE.INC($D$2:$D$246,0.4),3,
D129&gt;=_xlfn.PERCENTILE.INC($D$2:$D$246,0.2),2,
TRUE,1
)</f>
        <v>5</v>
      </c>
      <c r="H129">
        <f t="shared" si="1"/>
        <v>13</v>
      </c>
      <c r="I129" t="str" cm="1">
        <f t="array" ref="I129">_xlfn.IFS(H129&gt;=13,"Best Customers",H129&gt;=10,"Loyal Customers",H129&gt;=7,"Potential Loyal Customers",H129&gt;=4,"Need Attention",TRUE,"At Risk")</f>
        <v>Best Customers</v>
      </c>
    </row>
    <row r="130" spans="1:9" x14ac:dyDescent="0.25">
      <c r="A130" t="s">
        <v>233</v>
      </c>
      <c r="B130" s="5">
        <v>189</v>
      </c>
      <c r="C130" s="5">
        <v>2</v>
      </c>
      <c r="D130" s="2">
        <v>8433.98</v>
      </c>
      <c r="E130" cm="1">
        <f t="array" ref="E130">_xlfn.IFS(
B130&lt;=_xlfn.PERCENTILE.INC($B$2:$B$246,0.2),5,
B130&lt;=_xlfn.PERCENTILE.INC($B$2:$B$246,0.4),4,
B130&lt;=_xlfn.PERCENTILE.INC($B$2:$B$246,0.6),3,
B130&lt;=_xlfn.PERCENTILE.INC($B$2:$B$246,0.8),2,
TRUE,1
)</f>
        <v>2</v>
      </c>
      <c r="F130" cm="1">
        <f t="array" ref="F130">_xlfn.IFS(
C130&gt;=_xlfn.PERCENTILE.INC($C$2:$C$246,0.8),5,
C130&gt;=_xlfn.PERCENTILE.INC($C$2:$C$246,0.6),4,
C130&gt;=_xlfn.PERCENTILE.INC($C$2:$C$246,0.4),3,
C130&gt;=_xlfn.PERCENTILE.INC($C$2:$C$246,0.2),2,
TRUE,1
)</f>
        <v>2</v>
      </c>
      <c r="G130" cm="1">
        <f t="array" ref="G130">_xlfn.IFS(
D130&gt;=_xlfn.PERCENTILE.INC($D$2:$D$246,0.8),5,
D130&gt;=_xlfn.PERCENTILE.INC($D$2:$D$246,0.6),4,
D130&gt;=_xlfn.PERCENTILE.INC($D$2:$D$246,0.4),3,
D130&gt;=_xlfn.PERCENTILE.INC($D$2:$D$246,0.2),2,
TRUE,1
)</f>
        <v>1</v>
      </c>
      <c r="H130">
        <f t="shared" si="1"/>
        <v>5</v>
      </c>
      <c r="I130" t="str" cm="1">
        <f t="array" ref="I130">_xlfn.IFS(H130&gt;=13,"Best Customers",H130&gt;=10,"Loyal Customers",H130&gt;=7,"Potential Loyal Customers",H130&gt;=4,"Need Attention",TRUE,"At Risk")</f>
        <v>Need Attention</v>
      </c>
    </row>
    <row r="131" spans="1:9" x14ac:dyDescent="0.25">
      <c r="A131" t="s">
        <v>458</v>
      </c>
      <c r="B131" s="5">
        <v>40</v>
      </c>
      <c r="C131" s="5">
        <v>6</v>
      </c>
      <c r="D131" s="2">
        <v>40773.25</v>
      </c>
      <c r="E131" cm="1">
        <f t="array" ref="E131">_xlfn.IFS(
B131&lt;=_xlfn.PERCENTILE.INC($B$2:$B$246,0.2),5,
B131&lt;=_xlfn.PERCENTILE.INC($B$2:$B$246,0.4),4,
B131&lt;=_xlfn.PERCENTILE.INC($B$2:$B$246,0.6),3,
B131&lt;=_xlfn.PERCENTILE.INC($B$2:$B$246,0.8),2,
TRUE,1
)</f>
        <v>5</v>
      </c>
      <c r="F131" cm="1">
        <f t="array" ref="F131">_xlfn.IFS(
C131&gt;=_xlfn.PERCENTILE.INC($C$2:$C$246,0.8),5,
C131&gt;=_xlfn.PERCENTILE.INC($C$2:$C$246,0.6),4,
C131&gt;=_xlfn.PERCENTILE.INC($C$2:$C$246,0.4),3,
C131&gt;=_xlfn.PERCENTILE.INC($C$2:$C$246,0.2),2,
TRUE,1
)</f>
        <v>5</v>
      </c>
      <c r="G131" cm="1">
        <f t="array" ref="G131">_xlfn.IFS(
D131&gt;=_xlfn.PERCENTILE.INC($D$2:$D$246,0.8),5,
D131&gt;=_xlfn.PERCENTILE.INC($D$2:$D$246,0.6),4,
D131&gt;=_xlfn.PERCENTILE.INC($D$2:$D$246,0.4),3,
D131&gt;=_xlfn.PERCENTILE.INC($D$2:$D$246,0.2),2,
TRUE,1
)</f>
        <v>5</v>
      </c>
      <c r="H131">
        <f t="shared" ref="H131:H194" si="2">E131+F131+G131</f>
        <v>15</v>
      </c>
      <c r="I131" t="str" cm="1">
        <f t="array" ref="I131">_xlfn.IFS(H131&gt;=13,"Best Customers",H131&gt;=10,"Loyal Customers",H131&gt;=7,"Potential Loyal Customers",H131&gt;=4,"Need Attention",TRUE,"At Risk")</f>
        <v>Best Customers</v>
      </c>
    </row>
    <row r="132" spans="1:9" x14ac:dyDescent="0.25">
      <c r="A132" t="s">
        <v>380</v>
      </c>
      <c r="B132" s="5">
        <v>365</v>
      </c>
      <c r="C132" s="5">
        <v>2</v>
      </c>
      <c r="D132" s="2">
        <v>11402.82</v>
      </c>
      <c r="E132" cm="1">
        <f t="array" ref="E132">_xlfn.IFS(
B132&lt;=_xlfn.PERCENTILE.INC($B$2:$B$246,0.2),5,
B132&lt;=_xlfn.PERCENTILE.INC($B$2:$B$246,0.4),4,
B132&lt;=_xlfn.PERCENTILE.INC($B$2:$B$246,0.6),3,
B132&lt;=_xlfn.PERCENTILE.INC($B$2:$B$246,0.8),2,
TRUE,1
)</f>
        <v>1</v>
      </c>
      <c r="F132" cm="1">
        <f t="array" ref="F132">_xlfn.IFS(
C132&gt;=_xlfn.PERCENTILE.INC($C$2:$C$246,0.8),5,
C132&gt;=_xlfn.PERCENTILE.INC($C$2:$C$246,0.6),4,
C132&gt;=_xlfn.PERCENTILE.INC($C$2:$C$246,0.4),3,
C132&gt;=_xlfn.PERCENTILE.INC($C$2:$C$246,0.2),2,
TRUE,1
)</f>
        <v>2</v>
      </c>
      <c r="G132" cm="1">
        <f t="array" ref="G132">_xlfn.IFS(
D132&gt;=_xlfn.PERCENTILE.INC($D$2:$D$246,0.8),5,
D132&gt;=_xlfn.PERCENTILE.INC($D$2:$D$246,0.6),4,
D132&gt;=_xlfn.PERCENTILE.INC($D$2:$D$246,0.4),3,
D132&gt;=_xlfn.PERCENTILE.INC($D$2:$D$246,0.2),2,
TRUE,1
)</f>
        <v>2</v>
      </c>
      <c r="H132">
        <f t="shared" si="2"/>
        <v>5</v>
      </c>
      <c r="I132" t="str" cm="1">
        <f t="array" ref="I132">_xlfn.IFS(H132&gt;=13,"Best Customers",H132&gt;=10,"Loyal Customers",H132&gt;=7,"Potential Loyal Customers",H132&gt;=4,"Need Attention",TRUE,"At Risk")</f>
        <v>Need Attention</v>
      </c>
    </row>
    <row r="133" spans="1:9" x14ac:dyDescent="0.25">
      <c r="A133" t="s">
        <v>54</v>
      </c>
      <c r="B133" s="5">
        <v>23</v>
      </c>
      <c r="C133" s="5">
        <v>6</v>
      </c>
      <c r="D133" s="2">
        <v>37759.21</v>
      </c>
      <c r="E133" cm="1">
        <f t="array" ref="E133">_xlfn.IFS(
B133&lt;=_xlfn.PERCENTILE.INC($B$2:$B$246,0.2),5,
B133&lt;=_xlfn.PERCENTILE.INC($B$2:$B$246,0.4),4,
B133&lt;=_xlfn.PERCENTILE.INC($B$2:$B$246,0.6),3,
B133&lt;=_xlfn.PERCENTILE.INC($B$2:$B$246,0.8),2,
TRUE,1
)</f>
        <v>5</v>
      </c>
      <c r="F133" cm="1">
        <f t="array" ref="F133">_xlfn.IFS(
C133&gt;=_xlfn.PERCENTILE.INC($C$2:$C$246,0.8),5,
C133&gt;=_xlfn.PERCENTILE.INC($C$2:$C$246,0.6),4,
C133&gt;=_xlfn.PERCENTILE.INC($C$2:$C$246,0.4),3,
C133&gt;=_xlfn.PERCENTILE.INC($C$2:$C$246,0.2),2,
TRUE,1
)</f>
        <v>5</v>
      </c>
      <c r="G133" cm="1">
        <f t="array" ref="G133">_xlfn.IFS(
D133&gt;=_xlfn.PERCENTILE.INC($D$2:$D$246,0.8),5,
D133&gt;=_xlfn.PERCENTILE.INC($D$2:$D$246,0.6),4,
D133&gt;=_xlfn.PERCENTILE.INC($D$2:$D$246,0.4),3,
D133&gt;=_xlfn.PERCENTILE.INC($D$2:$D$246,0.2),2,
TRUE,1
)</f>
        <v>5</v>
      </c>
      <c r="H133">
        <f t="shared" si="2"/>
        <v>15</v>
      </c>
      <c r="I133" t="str" cm="1">
        <f t="array" ref="I133">_xlfn.IFS(H133&gt;=13,"Best Customers",H133&gt;=10,"Loyal Customers",H133&gt;=7,"Potential Loyal Customers",H133&gt;=4,"Need Attention",TRUE,"At Risk")</f>
        <v>Best Customers</v>
      </c>
    </row>
    <row r="134" spans="1:9" x14ac:dyDescent="0.25">
      <c r="A134" t="s">
        <v>851</v>
      </c>
      <c r="B134" s="5">
        <v>497</v>
      </c>
      <c r="C134" s="5">
        <v>2</v>
      </c>
      <c r="D134" s="2">
        <v>4862.6900000000005</v>
      </c>
      <c r="E134" cm="1">
        <f t="array" ref="E134">_xlfn.IFS(
B134&lt;=_xlfn.PERCENTILE.INC($B$2:$B$246,0.2),5,
B134&lt;=_xlfn.PERCENTILE.INC($B$2:$B$246,0.4),4,
B134&lt;=_xlfn.PERCENTILE.INC($B$2:$B$246,0.6),3,
B134&lt;=_xlfn.PERCENTILE.INC($B$2:$B$246,0.8),2,
TRUE,1
)</f>
        <v>1</v>
      </c>
      <c r="F134" cm="1">
        <f t="array" ref="F134">_xlfn.IFS(
C134&gt;=_xlfn.PERCENTILE.INC($C$2:$C$246,0.8),5,
C134&gt;=_xlfn.PERCENTILE.INC($C$2:$C$246,0.6),4,
C134&gt;=_xlfn.PERCENTILE.INC($C$2:$C$246,0.4),3,
C134&gt;=_xlfn.PERCENTILE.INC($C$2:$C$246,0.2),2,
TRUE,1
)</f>
        <v>2</v>
      </c>
      <c r="G134" cm="1">
        <f t="array" ref="G134">_xlfn.IFS(
D134&gt;=_xlfn.PERCENTILE.INC($D$2:$D$246,0.8),5,
D134&gt;=_xlfn.PERCENTILE.INC($D$2:$D$246,0.6),4,
D134&gt;=_xlfn.PERCENTILE.INC($D$2:$D$246,0.4),3,
D134&gt;=_xlfn.PERCENTILE.INC($D$2:$D$246,0.2),2,
TRUE,1
)</f>
        <v>1</v>
      </c>
      <c r="H134">
        <f t="shared" si="2"/>
        <v>4</v>
      </c>
      <c r="I134" t="str" cm="1">
        <f t="array" ref="I134">_xlfn.IFS(H134&gt;=13,"Best Customers",H134&gt;=10,"Loyal Customers",H134&gt;=7,"Potential Loyal Customers",H134&gt;=4,"Need Attention",TRUE,"At Risk")</f>
        <v>Need Attention</v>
      </c>
    </row>
    <row r="135" spans="1:9" x14ac:dyDescent="0.25">
      <c r="A135" t="s">
        <v>15</v>
      </c>
      <c r="B135" s="5">
        <v>199</v>
      </c>
      <c r="C135" s="5">
        <v>6</v>
      </c>
      <c r="D135" s="2">
        <v>37441.32</v>
      </c>
      <c r="E135" cm="1">
        <f t="array" ref="E135">_xlfn.IFS(
B135&lt;=_xlfn.PERCENTILE.INC($B$2:$B$246,0.2),5,
B135&lt;=_xlfn.PERCENTILE.INC($B$2:$B$246,0.4),4,
B135&lt;=_xlfn.PERCENTILE.INC($B$2:$B$246,0.6),3,
B135&lt;=_xlfn.PERCENTILE.INC($B$2:$B$246,0.8),2,
TRUE,1
)</f>
        <v>2</v>
      </c>
      <c r="F135" cm="1">
        <f t="array" ref="F135">_xlfn.IFS(
C135&gt;=_xlfn.PERCENTILE.INC($C$2:$C$246,0.8),5,
C135&gt;=_xlfn.PERCENTILE.INC($C$2:$C$246,0.6),4,
C135&gt;=_xlfn.PERCENTILE.INC($C$2:$C$246,0.4),3,
C135&gt;=_xlfn.PERCENTILE.INC($C$2:$C$246,0.2),2,
TRUE,1
)</f>
        <v>5</v>
      </c>
      <c r="G135" cm="1">
        <f t="array" ref="G135">_xlfn.IFS(
D135&gt;=_xlfn.PERCENTILE.INC($D$2:$D$246,0.8),5,
D135&gt;=_xlfn.PERCENTILE.INC($D$2:$D$246,0.6),4,
D135&gt;=_xlfn.PERCENTILE.INC($D$2:$D$246,0.4),3,
D135&gt;=_xlfn.PERCENTILE.INC($D$2:$D$246,0.2),2,
TRUE,1
)</f>
        <v>5</v>
      </c>
      <c r="H135">
        <f t="shared" si="2"/>
        <v>12</v>
      </c>
      <c r="I135" t="str" cm="1">
        <f t="array" ref="I135">_xlfn.IFS(H135&gt;=13,"Best Customers",H135&gt;=10,"Loyal Customers",H135&gt;=7,"Potential Loyal Customers",H135&gt;=4,"Need Attention",TRUE,"At Risk")</f>
        <v>Loyal Customers</v>
      </c>
    </row>
    <row r="136" spans="1:9" x14ac:dyDescent="0.25">
      <c r="A136" t="s">
        <v>1129</v>
      </c>
      <c r="B136" s="5">
        <v>559</v>
      </c>
      <c r="C136" s="5">
        <v>2</v>
      </c>
      <c r="D136" s="2">
        <v>12022.96</v>
      </c>
      <c r="E136" cm="1">
        <f t="array" ref="E136">_xlfn.IFS(
B136&lt;=_xlfn.PERCENTILE.INC($B$2:$B$246,0.2),5,
B136&lt;=_xlfn.PERCENTILE.INC($B$2:$B$246,0.4),4,
B136&lt;=_xlfn.PERCENTILE.INC($B$2:$B$246,0.6),3,
B136&lt;=_xlfn.PERCENTILE.INC($B$2:$B$246,0.8),2,
TRUE,1
)</f>
        <v>1</v>
      </c>
      <c r="F136" cm="1">
        <f t="array" ref="F136">_xlfn.IFS(
C136&gt;=_xlfn.PERCENTILE.INC($C$2:$C$246,0.8),5,
C136&gt;=_xlfn.PERCENTILE.INC($C$2:$C$246,0.6),4,
C136&gt;=_xlfn.PERCENTILE.INC($C$2:$C$246,0.4),3,
C136&gt;=_xlfn.PERCENTILE.INC($C$2:$C$246,0.2),2,
TRUE,1
)</f>
        <v>2</v>
      </c>
      <c r="G136" cm="1">
        <f t="array" ref="G136">_xlfn.IFS(
D136&gt;=_xlfn.PERCENTILE.INC($D$2:$D$246,0.8),5,
D136&gt;=_xlfn.PERCENTILE.INC($D$2:$D$246,0.6),4,
D136&gt;=_xlfn.PERCENTILE.INC($D$2:$D$246,0.4),3,
D136&gt;=_xlfn.PERCENTILE.INC($D$2:$D$246,0.2),2,
TRUE,1
)</f>
        <v>2</v>
      </c>
      <c r="H136">
        <f t="shared" si="2"/>
        <v>5</v>
      </c>
      <c r="I136" t="str" cm="1">
        <f t="array" ref="I136">_xlfn.IFS(H136&gt;=13,"Best Customers",H136&gt;=10,"Loyal Customers",H136&gt;=7,"Potential Loyal Customers",H136&gt;=4,"Need Attention",TRUE,"At Risk")</f>
        <v>Need Attention</v>
      </c>
    </row>
    <row r="137" spans="1:9" x14ac:dyDescent="0.25">
      <c r="A137" t="s">
        <v>767</v>
      </c>
      <c r="B137" s="5">
        <v>199</v>
      </c>
      <c r="C137" s="5">
        <v>2</v>
      </c>
      <c r="D137" s="2">
        <v>7096.85</v>
      </c>
      <c r="E137" cm="1">
        <f t="array" ref="E137">_xlfn.IFS(
B137&lt;=_xlfn.PERCENTILE.INC($B$2:$B$246,0.2),5,
B137&lt;=_xlfn.PERCENTILE.INC($B$2:$B$246,0.4),4,
B137&lt;=_xlfn.PERCENTILE.INC($B$2:$B$246,0.6),3,
B137&lt;=_xlfn.PERCENTILE.INC($B$2:$B$246,0.8),2,
TRUE,1
)</f>
        <v>2</v>
      </c>
      <c r="F137" cm="1">
        <f t="array" ref="F137">_xlfn.IFS(
C137&gt;=_xlfn.PERCENTILE.INC($C$2:$C$246,0.8),5,
C137&gt;=_xlfn.PERCENTILE.INC($C$2:$C$246,0.6),4,
C137&gt;=_xlfn.PERCENTILE.INC($C$2:$C$246,0.4),3,
C137&gt;=_xlfn.PERCENTILE.INC($C$2:$C$246,0.2),2,
TRUE,1
)</f>
        <v>2</v>
      </c>
      <c r="G137" cm="1">
        <f t="array" ref="G137">_xlfn.IFS(
D137&gt;=_xlfn.PERCENTILE.INC($D$2:$D$246,0.8),5,
D137&gt;=_xlfn.PERCENTILE.INC($D$2:$D$246,0.6),4,
D137&gt;=_xlfn.PERCENTILE.INC($D$2:$D$246,0.4),3,
D137&gt;=_xlfn.PERCENTILE.INC($D$2:$D$246,0.2),2,
TRUE,1
)</f>
        <v>1</v>
      </c>
      <c r="H137">
        <f t="shared" si="2"/>
        <v>5</v>
      </c>
      <c r="I137" t="str" cm="1">
        <f t="array" ref="I137">_xlfn.IFS(H137&gt;=13,"Best Customers",H137&gt;=10,"Loyal Customers",H137&gt;=7,"Potential Loyal Customers",H137&gt;=4,"Need Attention",TRUE,"At Risk")</f>
        <v>Need Attention</v>
      </c>
    </row>
    <row r="138" spans="1:9" x14ac:dyDescent="0.25">
      <c r="A138" t="s">
        <v>385</v>
      </c>
      <c r="B138" s="5">
        <v>310</v>
      </c>
      <c r="C138" s="5">
        <v>5</v>
      </c>
      <c r="D138" s="2">
        <v>26865.870000000003</v>
      </c>
      <c r="E138" cm="1">
        <f t="array" ref="E138">_xlfn.IFS(
B138&lt;=_xlfn.PERCENTILE.INC($B$2:$B$246,0.2),5,
B138&lt;=_xlfn.PERCENTILE.INC($B$2:$B$246,0.4),4,
B138&lt;=_xlfn.PERCENTILE.INC($B$2:$B$246,0.6),3,
B138&lt;=_xlfn.PERCENTILE.INC($B$2:$B$246,0.8),2,
TRUE,1
)</f>
        <v>1</v>
      </c>
      <c r="F138" cm="1">
        <f t="array" ref="F138">_xlfn.IFS(
C138&gt;=_xlfn.PERCENTILE.INC($C$2:$C$246,0.8),5,
C138&gt;=_xlfn.PERCENTILE.INC($C$2:$C$246,0.6),4,
C138&gt;=_xlfn.PERCENTILE.INC($C$2:$C$246,0.4),3,
C138&gt;=_xlfn.PERCENTILE.INC($C$2:$C$246,0.2),2,
TRUE,1
)</f>
        <v>4</v>
      </c>
      <c r="G138" cm="1">
        <f t="array" ref="G138">_xlfn.IFS(
D138&gt;=_xlfn.PERCENTILE.INC($D$2:$D$246,0.8),5,
D138&gt;=_xlfn.PERCENTILE.INC($D$2:$D$246,0.6),4,
D138&gt;=_xlfn.PERCENTILE.INC($D$2:$D$246,0.4),3,
D138&gt;=_xlfn.PERCENTILE.INC($D$2:$D$246,0.2),2,
TRUE,1
)</f>
        <v>4</v>
      </c>
      <c r="H138">
        <f t="shared" si="2"/>
        <v>9</v>
      </c>
      <c r="I138" t="str" cm="1">
        <f t="array" ref="I138">_xlfn.IFS(H138&gt;=13,"Best Customers",H138&gt;=10,"Loyal Customers",H138&gt;=7,"Potential Loyal Customers",H138&gt;=4,"Need Attention",TRUE,"At Risk")</f>
        <v>Potential Loyal Customers</v>
      </c>
    </row>
    <row r="139" spans="1:9" x14ac:dyDescent="0.25">
      <c r="A139" t="s">
        <v>266</v>
      </c>
      <c r="B139" s="5">
        <v>82</v>
      </c>
      <c r="C139" s="5">
        <v>4</v>
      </c>
      <c r="D139" s="2">
        <v>13377.78</v>
      </c>
      <c r="E139" cm="1">
        <f t="array" ref="E139">_xlfn.IFS(
B139&lt;=_xlfn.PERCENTILE.INC($B$2:$B$246,0.2),5,
B139&lt;=_xlfn.PERCENTILE.INC($B$2:$B$246,0.4),4,
B139&lt;=_xlfn.PERCENTILE.INC($B$2:$B$246,0.6),3,
B139&lt;=_xlfn.PERCENTILE.INC($B$2:$B$246,0.8),2,
TRUE,1
)</f>
        <v>4</v>
      </c>
      <c r="F139" cm="1">
        <f t="array" ref="F139">_xlfn.IFS(
C139&gt;=_xlfn.PERCENTILE.INC($C$2:$C$246,0.8),5,
C139&gt;=_xlfn.PERCENTILE.INC($C$2:$C$246,0.6),4,
C139&gt;=_xlfn.PERCENTILE.INC($C$2:$C$246,0.4),3,
C139&gt;=_xlfn.PERCENTILE.INC($C$2:$C$246,0.2),2,
TRUE,1
)</f>
        <v>3</v>
      </c>
      <c r="G139" cm="1">
        <f t="array" ref="G139">_xlfn.IFS(
D139&gt;=_xlfn.PERCENTILE.INC($D$2:$D$246,0.8),5,
D139&gt;=_xlfn.PERCENTILE.INC($D$2:$D$246,0.6),4,
D139&gt;=_xlfn.PERCENTILE.INC($D$2:$D$246,0.4),3,
D139&gt;=_xlfn.PERCENTILE.INC($D$2:$D$246,0.2),2,
TRUE,1
)</f>
        <v>2</v>
      </c>
      <c r="H139">
        <f t="shared" si="2"/>
        <v>9</v>
      </c>
      <c r="I139" t="str" cm="1">
        <f t="array" ref="I139">_xlfn.IFS(H139&gt;=13,"Best Customers",H139&gt;=10,"Loyal Customers",H139&gt;=7,"Potential Loyal Customers",H139&gt;=4,"Need Attention",TRUE,"At Risk")</f>
        <v>Potential Loyal Customers</v>
      </c>
    </row>
    <row r="140" spans="1:9" x14ac:dyDescent="0.25">
      <c r="A140" t="s">
        <v>550</v>
      </c>
      <c r="B140" s="5">
        <v>525</v>
      </c>
      <c r="C140" s="5">
        <v>2</v>
      </c>
      <c r="D140" s="2">
        <v>6084.24</v>
      </c>
      <c r="E140" cm="1">
        <f t="array" ref="E140">_xlfn.IFS(
B140&lt;=_xlfn.PERCENTILE.INC($B$2:$B$246,0.2),5,
B140&lt;=_xlfn.PERCENTILE.INC($B$2:$B$246,0.4),4,
B140&lt;=_xlfn.PERCENTILE.INC($B$2:$B$246,0.6),3,
B140&lt;=_xlfn.PERCENTILE.INC($B$2:$B$246,0.8),2,
TRUE,1
)</f>
        <v>1</v>
      </c>
      <c r="F140" cm="1">
        <f t="array" ref="F140">_xlfn.IFS(
C140&gt;=_xlfn.PERCENTILE.INC($C$2:$C$246,0.8),5,
C140&gt;=_xlfn.PERCENTILE.INC($C$2:$C$246,0.6),4,
C140&gt;=_xlfn.PERCENTILE.INC($C$2:$C$246,0.4),3,
C140&gt;=_xlfn.PERCENTILE.INC($C$2:$C$246,0.2),2,
TRUE,1
)</f>
        <v>2</v>
      </c>
      <c r="G140" cm="1">
        <f t="array" ref="G140">_xlfn.IFS(
D140&gt;=_xlfn.PERCENTILE.INC($D$2:$D$246,0.8),5,
D140&gt;=_xlfn.PERCENTILE.INC($D$2:$D$246,0.6),4,
D140&gt;=_xlfn.PERCENTILE.INC($D$2:$D$246,0.4),3,
D140&gt;=_xlfn.PERCENTILE.INC($D$2:$D$246,0.2),2,
TRUE,1
)</f>
        <v>1</v>
      </c>
      <c r="H140">
        <f t="shared" si="2"/>
        <v>4</v>
      </c>
      <c r="I140" t="str" cm="1">
        <f t="array" ref="I140">_xlfn.IFS(H140&gt;=13,"Best Customers",H140&gt;=10,"Loyal Customers",H140&gt;=7,"Potential Loyal Customers",H140&gt;=4,"Need Attention",TRUE,"At Risk")</f>
        <v>Need Attention</v>
      </c>
    </row>
    <row r="141" spans="1:9" x14ac:dyDescent="0.25">
      <c r="A141" t="s">
        <v>87</v>
      </c>
      <c r="B141" s="5">
        <v>40</v>
      </c>
      <c r="C141" s="5">
        <v>4</v>
      </c>
      <c r="D141" s="2">
        <v>13570.23</v>
      </c>
      <c r="E141" cm="1">
        <f t="array" ref="E141">_xlfn.IFS(
B141&lt;=_xlfn.PERCENTILE.INC($B$2:$B$246,0.2),5,
B141&lt;=_xlfn.PERCENTILE.INC($B$2:$B$246,0.4),4,
B141&lt;=_xlfn.PERCENTILE.INC($B$2:$B$246,0.6),3,
B141&lt;=_xlfn.PERCENTILE.INC($B$2:$B$246,0.8),2,
TRUE,1
)</f>
        <v>5</v>
      </c>
      <c r="F141" cm="1">
        <f t="array" ref="F141">_xlfn.IFS(
C141&gt;=_xlfn.PERCENTILE.INC($C$2:$C$246,0.8),5,
C141&gt;=_xlfn.PERCENTILE.INC($C$2:$C$246,0.6),4,
C141&gt;=_xlfn.PERCENTILE.INC($C$2:$C$246,0.4),3,
C141&gt;=_xlfn.PERCENTILE.INC($C$2:$C$246,0.2),2,
TRUE,1
)</f>
        <v>3</v>
      </c>
      <c r="G141" cm="1">
        <f t="array" ref="G141">_xlfn.IFS(
D141&gt;=_xlfn.PERCENTILE.INC($D$2:$D$246,0.8),5,
D141&gt;=_xlfn.PERCENTILE.INC($D$2:$D$246,0.6),4,
D141&gt;=_xlfn.PERCENTILE.INC($D$2:$D$246,0.4),3,
D141&gt;=_xlfn.PERCENTILE.INC($D$2:$D$246,0.2),2,
TRUE,1
)</f>
        <v>2</v>
      </c>
      <c r="H141">
        <f t="shared" si="2"/>
        <v>10</v>
      </c>
      <c r="I141" t="str" cm="1">
        <f t="array" ref="I141">_xlfn.IFS(H141&gt;=13,"Best Customers",H141&gt;=10,"Loyal Customers",H141&gt;=7,"Potential Loyal Customers",H141&gt;=4,"Need Attention",TRUE,"At Risk")</f>
        <v>Loyal Customers</v>
      </c>
    </row>
    <row r="142" spans="1:9" x14ac:dyDescent="0.25">
      <c r="A142" t="s">
        <v>106</v>
      </c>
      <c r="B142" s="5">
        <v>331</v>
      </c>
      <c r="C142" s="5">
        <v>3</v>
      </c>
      <c r="D142" s="2">
        <v>16981.47</v>
      </c>
      <c r="E142" cm="1">
        <f t="array" ref="E142">_xlfn.IFS(
B142&lt;=_xlfn.PERCENTILE.INC($B$2:$B$246,0.2),5,
B142&lt;=_xlfn.PERCENTILE.INC($B$2:$B$246,0.4),4,
B142&lt;=_xlfn.PERCENTILE.INC($B$2:$B$246,0.6),3,
B142&lt;=_xlfn.PERCENTILE.INC($B$2:$B$246,0.8),2,
TRUE,1
)</f>
        <v>1</v>
      </c>
      <c r="F142" cm="1">
        <f t="array" ref="F142">_xlfn.IFS(
C142&gt;=_xlfn.PERCENTILE.INC($C$2:$C$246,0.8),5,
C142&gt;=_xlfn.PERCENTILE.INC($C$2:$C$246,0.6),4,
C142&gt;=_xlfn.PERCENTILE.INC($C$2:$C$246,0.4),3,
C142&gt;=_xlfn.PERCENTILE.INC($C$2:$C$246,0.2),2,
TRUE,1
)</f>
        <v>3</v>
      </c>
      <c r="G142" cm="1">
        <f t="array" ref="G142">_xlfn.IFS(
D142&gt;=_xlfn.PERCENTILE.INC($D$2:$D$246,0.8),5,
D142&gt;=_xlfn.PERCENTILE.INC($D$2:$D$246,0.6),4,
D142&gt;=_xlfn.PERCENTILE.INC($D$2:$D$246,0.4),3,
D142&gt;=_xlfn.PERCENTILE.INC($D$2:$D$246,0.2),2,
TRUE,1
)</f>
        <v>3</v>
      </c>
      <c r="H142">
        <f t="shared" si="2"/>
        <v>7</v>
      </c>
      <c r="I142" t="str" cm="1">
        <f t="array" ref="I142">_xlfn.IFS(H142&gt;=13,"Best Customers",H142&gt;=10,"Loyal Customers",H142&gt;=7,"Potential Loyal Customers",H142&gt;=4,"Need Attention",TRUE,"At Risk")</f>
        <v>Potential Loyal Customers</v>
      </c>
    </row>
    <row r="143" spans="1:9" x14ac:dyDescent="0.25">
      <c r="A143" t="s">
        <v>94</v>
      </c>
      <c r="B143" s="5">
        <v>142</v>
      </c>
      <c r="C143" s="5">
        <v>4</v>
      </c>
      <c r="D143" s="2">
        <v>14356.420000000002</v>
      </c>
      <c r="E143" cm="1">
        <f t="array" ref="E143">_xlfn.IFS(
B143&lt;=_xlfn.PERCENTILE.INC($B$2:$B$246,0.2),5,
B143&lt;=_xlfn.PERCENTILE.INC($B$2:$B$246,0.4),4,
B143&lt;=_xlfn.PERCENTILE.INC($B$2:$B$246,0.6),3,
B143&lt;=_xlfn.PERCENTILE.INC($B$2:$B$246,0.8),2,
TRUE,1
)</f>
        <v>3</v>
      </c>
      <c r="F143" cm="1">
        <f t="array" ref="F143">_xlfn.IFS(
C143&gt;=_xlfn.PERCENTILE.INC($C$2:$C$246,0.8),5,
C143&gt;=_xlfn.PERCENTILE.INC($C$2:$C$246,0.6),4,
C143&gt;=_xlfn.PERCENTILE.INC($C$2:$C$246,0.4),3,
C143&gt;=_xlfn.PERCENTILE.INC($C$2:$C$246,0.2),2,
TRUE,1
)</f>
        <v>3</v>
      </c>
      <c r="G143" cm="1">
        <f t="array" ref="G143">_xlfn.IFS(
D143&gt;=_xlfn.PERCENTILE.INC($D$2:$D$246,0.8),5,
D143&gt;=_xlfn.PERCENTILE.INC($D$2:$D$246,0.6),4,
D143&gt;=_xlfn.PERCENTILE.INC($D$2:$D$246,0.4),3,
D143&gt;=_xlfn.PERCENTILE.INC($D$2:$D$246,0.2),2,
TRUE,1
)</f>
        <v>2</v>
      </c>
      <c r="H143">
        <f t="shared" si="2"/>
        <v>8</v>
      </c>
      <c r="I143" t="str" cm="1">
        <f t="array" ref="I143">_xlfn.IFS(H143&gt;=13,"Best Customers",H143&gt;=10,"Loyal Customers",H143&gt;=7,"Potential Loyal Customers",H143&gt;=4,"Need Attention",TRUE,"At Risk")</f>
        <v>Potential Loyal Customers</v>
      </c>
    </row>
    <row r="144" spans="1:9" x14ac:dyDescent="0.25">
      <c r="A144" t="s">
        <v>561</v>
      </c>
      <c r="B144" s="5">
        <v>170</v>
      </c>
      <c r="C144" s="5">
        <v>2</v>
      </c>
      <c r="D144" s="2">
        <v>10356.75</v>
      </c>
      <c r="E144" cm="1">
        <f t="array" ref="E144">_xlfn.IFS(
B144&lt;=_xlfn.PERCENTILE.INC($B$2:$B$246,0.2),5,
B144&lt;=_xlfn.PERCENTILE.INC($B$2:$B$246,0.4),4,
B144&lt;=_xlfn.PERCENTILE.INC($B$2:$B$246,0.6),3,
B144&lt;=_xlfn.PERCENTILE.INC($B$2:$B$246,0.8),2,
TRUE,1
)</f>
        <v>3</v>
      </c>
      <c r="F144" cm="1">
        <f t="array" ref="F144">_xlfn.IFS(
C144&gt;=_xlfn.PERCENTILE.INC($C$2:$C$246,0.8),5,
C144&gt;=_xlfn.PERCENTILE.INC($C$2:$C$246,0.6),4,
C144&gt;=_xlfn.PERCENTILE.INC($C$2:$C$246,0.4),3,
C144&gt;=_xlfn.PERCENTILE.INC($C$2:$C$246,0.2),2,
TRUE,1
)</f>
        <v>2</v>
      </c>
      <c r="G144" cm="1">
        <f t="array" ref="G144">_xlfn.IFS(
D144&gt;=_xlfn.PERCENTILE.INC($D$2:$D$246,0.8),5,
D144&gt;=_xlfn.PERCENTILE.INC($D$2:$D$246,0.6),4,
D144&gt;=_xlfn.PERCENTILE.INC($D$2:$D$246,0.4),3,
D144&gt;=_xlfn.PERCENTILE.INC($D$2:$D$246,0.2),2,
TRUE,1
)</f>
        <v>2</v>
      </c>
      <c r="H144">
        <f t="shared" si="2"/>
        <v>7</v>
      </c>
      <c r="I144" t="str" cm="1">
        <f t="array" ref="I144">_xlfn.IFS(H144&gt;=13,"Best Customers",H144&gt;=10,"Loyal Customers",H144&gt;=7,"Potential Loyal Customers",H144&gt;=4,"Need Attention",TRUE,"At Risk")</f>
        <v>Potential Loyal Customers</v>
      </c>
    </row>
    <row r="145" spans="1:9" x14ac:dyDescent="0.25">
      <c r="A145" t="s">
        <v>483</v>
      </c>
      <c r="B145" s="5">
        <v>361</v>
      </c>
      <c r="C145" s="5">
        <v>4</v>
      </c>
      <c r="D145" s="2">
        <v>28752.100000000002</v>
      </c>
      <c r="E145" cm="1">
        <f t="array" ref="E145">_xlfn.IFS(
B145&lt;=_xlfn.PERCENTILE.INC($B$2:$B$246,0.2),5,
B145&lt;=_xlfn.PERCENTILE.INC($B$2:$B$246,0.4),4,
B145&lt;=_xlfn.PERCENTILE.INC($B$2:$B$246,0.6),3,
B145&lt;=_xlfn.PERCENTILE.INC($B$2:$B$246,0.8),2,
TRUE,1
)</f>
        <v>1</v>
      </c>
      <c r="F145" cm="1">
        <f t="array" ref="F145">_xlfn.IFS(
C145&gt;=_xlfn.PERCENTILE.INC($C$2:$C$246,0.8),5,
C145&gt;=_xlfn.PERCENTILE.INC($C$2:$C$246,0.6),4,
C145&gt;=_xlfn.PERCENTILE.INC($C$2:$C$246,0.4),3,
C145&gt;=_xlfn.PERCENTILE.INC($C$2:$C$246,0.2),2,
TRUE,1
)</f>
        <v>3</v>
      </c>
      <c r="G145" cm="1">
        <f t="array" ref="G145">_xlfn.IFS(
D145&gt;=_xlfn.PERCENTILE.INC($D$2:$D$246,0.8),5,
D145&gt;=_xlfn.PERCENTILE.INC($D$2:$D$246,0.6),4,
D145&gt;=_xlfn.PERCENTILE.INC($D$2:$D$246,0.4),3,
D145&gt;=_xlfn.PERCENTILE.INC($D$2:$D$246,0.2),2,
TRUE,1
)</f>
        <v>5</v>
      </c>
      <c r="H145">
        <f t="shared" si="2"/>
        <v>9</v>
      </c>
      <c r="I145" t="str" cm="1">
        <f t="array" ref="I145">_xlfn.IFS(H145&gt;=13,"Best Customers",H145&gt;=10,"Loyal Customers",H145&gt;=7,"Potential Loyal Customers",H145&gt;=4,"Need Attention",TRUE,"At Risk")</f>
        <v>Potential Loyal Customers</v>
      </c>
    </row>
    <row r="146" spans="1:9" x14ac:dyDescent="0.25">
      <c r="A146" t="s">
        <v>158</v>
      </c>
      <c r="B146" s="5">
        <v>334</v>
      </c>
      <c r="C146" s="5">
        <v>4</v>
      </c>
      <c r="D146" s="2">
        <v>21597.279999999999</v>
      </c>
      <c r="E146" cm="1">
        <f t="array" ref="E146">_xlfn.IFS(
B146&lt;=_xlfn.PERCENTILE.INC($B$2:$B$246,0.2),5,
B146&lt;=_xlfn.PERCENTILE.INC($B$2:$B$246,0.4),4,
B146&lt;=_xlfn.PERCENTILE.INC($B$2:$B$246,0.6),3,
B146&lt;=_xlfn.PERCENTILE.INC($B$2:$B$246,0.8),2,
TRUE,1
)</f>
        <v>1</v>
      </c>
      <c r="F146" cm="1">
        <f t="array" ref="F146">_xlfn.IFS(
C146&gt;=_xlfn.PERCENTILE.INC($C$2:$C$246,0.8),5,
C146&gt;=_xlfn.PERCENTILE.INC($C$2:$C$246,0.6),4,
C146&gt;=_xlfn.PERCENTILE.INC($C$2:$C$246,0.4),3,
C146&gt;=_xlfn.PERCENTILE.INC($C$2:$C$246,0.2),2,
TRUE,1
)</f>
        <v>3</v>
      </c>
      <c r="G146" cm="1">
        <f t="array" ref="G146">_xlfn.IFS(
D146&gt;=_xlfn.PERCENTILE.INC($D$2:$D$246,0.8),5,
D146&gt;=_xlfn.PERCENTILE.INC($D$2:$D$246,0.6),4,
D146&gt;=_xlfn.PERCENTILE.INC($D$2:$D$246,0.4),3,
D146&gt;=_xlfn.PERCENTILE.INC($D$2:$D$246,0.2),2,
TRUE,1
)</f>
        <v>3</v>
      </c>
      <c r="H146">
        <f t="shared" si="2"/>
        <v>7</v>
      </c>
      <c r="I146" t="str" cm="1">
        <f t="array" ref="I146">_xlfn.IFS(H146&gt;=13,"Best Customers",H146&gt;=10,"Loyal Customers",H146&gt;=7,"Potential Loyal Customers",H146&gt;=4,"Need Attention",TRUE,"At Risk")</f>
        <v>Potential Loyal Customers</v>
      </c>
    </row>
    <row r="147" spans="1:9" x14ac:dyDescent="0.25">
      <c r="A147" t="s">
        <v>20</v>
      </c>
      <c r="B147" s="5">
        <v>283</v>
      </c>
      <c r="C147" s="5">
        <v>2</v>
      </c>
      <c r="D147" s="2">
        <v>4472.58</v>
      </c>
      <c r="E147" cm="1">
        <f t="array" ref="E147">_xlfn.IFS(
B147&lt;=_xlfn.PERCENTILE.INC($B$2:$B$246,0.2),5,
B147&lt;=_xlfn.PERCENTILE.INC($B$2:$B$246,0.4),4,
B147&lt;=_xlfn.PERCENTILE.INC($B$2:$B$246,0.6),3,
B147&lt;=_xlfn.PERCENTILE.INC($B$2:$B$246,0.8),2,
TRUE,1
)</f>
        <v>1</v>
      </c>
      <c r="F147" cm="1">
        <f t="array" ref="F147">_xlfn.IFS(
C147&gt;=_xlfn.PERCENTILE.INC($C$2:$C$246,0.8),5,
C147&gt;=_xlfn.PERCENTILE.INC($C$2:$C$246,0.6),4,
C147&gt;=_xlfn.PERCENTILE.INC($C$2:$C$246,0.4),3,
C147&gt;=_xlfn.PERCENTILE.INC($C$2:$C$246,0.2),2,
TRUE,1
)</f>
        <v>2</v>
      </c>
      <c r="G147" cm="1">
        <f t="array" ref="G147">_xlfn.IFS(
D147&gt;=_xlfn.PERCENTILE.INC($D$2:$D$246,0.8),5,
D147&gt;=_xlfn.PERCENTILE.INC($D$2:$D$246,0.6),4,
D147&gt;=_xlfn.PERCENTILE.INC($D$2:$D$246,0.4),3,
D147&gt;=_xlfn.PERCENTILE.INC($D$2:$D$246,0.2),2,
TRUE,1
)</f>
        <v>1</v>
      </c>
      <c r="H147">
        <f t="shared" si="2"/>
        <v>4</v>
      </c>
      <c r="I147" t="str" cm="1">
        <f t="array" ref="I147">_xlfn.IFS(H147&gt;=13,"Best Customers",H147&gt;=10,"Loyal Customers",H147&gt;=7,"Potential Loyal Customers",H147&gt;=4,"Need Attention",TRUE,"At Risk")</f>
        <v>Need Attention</v>
      </c>
    </row>
    <row r="148" spans="1:9" x14ac:dyDescent="0.25">
      <c r="A148" t="s">
        <v>774</v>
      </c>
      <c r="B148" s="5">
        <v>392</v>
      </c>
      <c r="C148" s="5">
        <v>4</v>
      </c>
      <c r="D148" s="2">
        <v>24895.72</v>
      </c>
      <c r="E148" cm="1">
        <f t="array" ref="E148">_xlfn.IFS(
B148&lt;=_xlfn.PERCENTILE.INC($B$2:$B$246,0.2),5,
B148&lt;=_xlfn.PERCENTILE.INC($B$2:$B$246,0.4),4,
B148&lt;=_xlfn.PERCENTILE.INC($B$2:$B$246,0.6),3,
B148&lt;=_xlfn.PERCENTILE.INC($B$2:$B$246,0.8),2,
TRUE,1
)</f>
        <v>1</v>
      </c>
      <c r="F148" cm="1">
        <f t="array" ref="F148">_xlfn.IFS(
C148&gt;=_xlfn.PERCENTILE.INC($C$2:$C$246,0.8),5,
C148&gt;=_xlfn.PERCENTILE.INC($C$2:$C$246,0.6),4,
C148&gt;=_xlfn.PERCENTILE.INC($C$2:$C$246,0.4),3,
C148&gt;=_xlfn.PERCENTILE.INC($C$2:$C$246,0.2),2,
TRUE,1
)</f>
        <v>3</v>
      </c>
      <c r="G148" cm="1">
        <f t="array" ref="G148">_xlfn.IFS(
D148&gt;=_xlfn.PERCENTILE.INC($D$2:$D$246,0.8),5,
D148&gt;=_xlfn.PERCENTILE.INC($D$2:$D$246,0.6),4,
D148&gt;=_xlfn.PERCENTILE.INC($D$2:$D$246,0.4),3,
D148&gt;=_xlfn.PERCENTILE.INC($D$2:$D$246,0.2),2,
TRUE,1
)</f>
        <v>4</v>
      </c>
      <c r="H148">
        <f t="shared" si="2"/>
        <v>8</v>
      </c>
      <c r="I148" t="str" cm="1">
        <f t="array" ref="I148">_xlfn.IFS(H148&gt;=13,"Best Customers",H148&gt;=10,"Loyal Customers",H148&gt;=7,"Potential Loyal Customers",H148&gt;=4,"Need Attention",TRUE,"At Risk")</f>
        <v>Potential Loyal Customers</v>
      </c>
    </row>
    <row r="149" spans="1:9" x14ac:dyDescent="0.25">
      <c r="A149" t="s">
        <v>404</v>
      </c>
      <c r="B149" s="5">
        <v>265</v>
      </c>
      <c r="C149" s="5">
        <v>2</v>
      </c>
      <c r="D149" s="2">
        <v>9083.6</v>
      </c>
      <c r="E149" cm="1">
        <f t="array" ref="E149">_xlfn.IFS(
B149&lt;=_xlfn.PERCENTILE.INC($B$2:$B$246,0.2),5,
B149&lt;=_xlfn.PERCENTILE.INC($B$2:$B$246,0.4),4,
B149&lt;=_xlfn.PERCENTILE.INC($B$2:$B$246,0.6),3,
B149&lt;=_xlfn.PERCENTILE.INC($B$2:$B$246,0.8),2,
TRUE,1
)</f>
        <v>2</v>
      </c>
      <c r="F149" cm="1">
        <f t="array" ref="F149">_xlfn.IFS(
C149&gt;=_xlfn.PERCENTILE.INC($C$2:$C$246,0.8),5,
C149&gt;=_xlfn.PERCENTILE.INC($C$2:$C$246,0.6),4,
C149&gt;=_xlfn.PERCENTILE.INC($C$2:$C$246,0.4),3,
C149&gt;=_xlfn.PERCENTILE.INC($C$2:$C$246,0.2),2,
TRUE,1
)</f>
        <v>2</v>
      </c>
      <c r="G149" cm="1">
        <f t="array" ref="G149">_xlfn.IFS(
D149&gt;=_xlfn.PERCENTILE.INC($D$2:$D$246,0.8),5,
D149&gt;=_xlfn.PERCENTILE.INC($D$2:$D$246,0.6),4,
D149&gt;=_xlfn.PERCENTILE.INC($D$2:$D$246,0.4),3,
D149&gt;=_xlfn.PERCENTILE.INC($D$2:$D$246,0.2),2,
TRUE,1
)</f>
        <v>1</v>
      </c>
      <c r="H149">
        <f t="shared" si="2"/>
        <v>5</v>
      </c>
      <c r="I149" t="str" cm="1">
        <f t="array" ref="I149">_xlfn.IFS(H149&gt;=13,"Best Customers",H149&gt;=10,"Loyal Customers",H149&gt;=7,"Potential Loyal Customers",H149&gt;=4,"Need Attention",TRUE,"At Risk")</f>
        <v>Need Attention</v>
      </c>
    </row>
    <row r="150" spans="1:9" x14ac:dyDescent="0.25">
      <c r="A150" t="s">
        <v>309</v>
      </c>
      <c r="B150" s="5">
        <v>32</v>
      </c>
      <c r="C150" s="5">
        <v>3</v>
      </c>
      <c r="D150" s="2">
        <v>13559.029999999999</v>
      </c>
      <c r="E150" cm="1">
        <f t="array" ref="E150">_xlfn.IFS(
B150&lt;=_xlfn.PERCENTILE.INC($B$2:$B$246,0.2),5,
B150&lt;=_xlfn.PERCENTILE.INC($B$2:$B$246,0.4),4,
B150&lt;=_xlfn.PERCENTILE.INC($B$2:$B$246,0.6),3,
B150&lt;=_xlfn.PERCENTILE.INC($B$2:$B$246,0.8),2,
TRUE,1
)</f>
        <v>5</v>
      </c>
      <c r="F150" cm="1">
        <f t="array" ref="F150">_xlfn.IFS(
C150&gt;=_xlfn.PERCENTILE.INC($C$2:$C$246,0.8),5,
C150&gt;=_xlfn.PERCENTILE.INC($C$2:$C$246,0.6),4,
C150&gt;=_xlfn.PERCENTILE.INC($C$2:$C$246,0.4),3,
C150&gt;=_xlfn.PERCENTILE.INC($C$2:$C$246,0.2),2,
TRUE,1
)</f>
        <v>3</v>
      </c>
      <c r="G150" cm="1">
        <f t="array" ref="G150">_xlfn.IFS(
D150&gt;=_xlfn.PERCENTILE.INC($D$2:$D$246,0.8),5,
D150&gt;=_xlfn.PERCENTILE.INC($D$2:$D$246,0.6),4,
D150&gt;=_xlfn.PERCENTILE.INC($D$2:$D$246,0.4),3,
D150&gt;=_xlfn.PERCENTILE.INC($D$2:$D$246,0.2),2,
TRUE,1
)</f>
        <v>2</v>
      </c>
      <c r="H150">
        <f t="shared" si="2"/>
        <v>10</v>
      </c>
      <c r="I150" t="str" cm="1">
        <f t="array" ref="I150">_xlfn.IFS(H150&gt;=13,"Best Customers",H150&gt;=10,"Loyal Customers",H150&gt;=7,"Potential Loyal Customers",H150&gt;=4,"Need Attention",TRUE,"At Risk")</f>
        <v>Loyal Customers</v>
      </c>
    </row>
    <row r="151" spans="1:9" x14ac:dyDescent="0.25">
      <c r="A151" t="s">
        <v>148</v>
      </c>
      <c r="B151" s="5">
        <v>141</v>
      </c>
      <c r="C151" s="5">
        <v>3</v>
      </c>
      <c r="D151" s="2">
        <v>4222.37</v>
      </c>
      <c r="E151" cm="1">
        <f t="array" ref="E151">_xlfn.IFS(
B151&lt;=_xlfn.PERCENTILE.INC($B$2:$B$246,0.2),5,
B151&lt;=_xlfn.PERCENTILE.INC($B$2:$B$246,0.4),4,
B151&lt;=_xlfn.PERCENTILE.INC($B$2:$B$246,0.6),3,
B151&lt;=_xlfn.PERCENTILE.INC($B$2:$B$246,0.8),2,
TRUE,1
)</f>
        <v>3</v>
      </c>
      <c r="F151" cm="1">
        <f t="array" ref="F151">_xlfn.IFS(
C151&gt;=_xlfn.PERCENTILE.INC($C$2:$C$246,0.8),5,
C151&gt;=_xlfn.PERCENTILE.INC($C$2:$C$246,0.6),4,
C151&gt;=_xlfn.PERCENTILE.INC($C$2:$C$246,0.4),3,
C151&gt;=_xlfn.PERCENTILE.INC($C$2:$C$246,0.2),2,
TRUE,1
)</f>
        <v>3</v>
      </c>
      <c r="G151" cm="1">
        <f t="array" ref="G151">_xlfn.IFS(
D151&gt;=_xlfn.PERCENTILE.INC($D$2:$D$246,0.8),5,
D151&gt;=_xlfn.PERCENTILE.INC($D$2:$D$246,0.6),4,
D151&gt;=_xlfn.PERCENTILE.INC($D$2:$D$246,0.4),3,
D151&gt;=_xlfn.PERCENTILE.INC($D$2:$D$246,0.2),2,
TRUE,1
)</f>
        <v>1</v>
      </c>
      <c r="H151">
        <f t="shared" si="2"/>
        <v>7</v>
      </c>
      <c r="I151" t="str" cm="1">
        <f t="array" ref="I151">_xlfn.IFS(H151&gt;=13,"Best Customers",H151&gt;=10,"Loyal Customers",H151&gt;=7,"Potential Loyal Customers",H151&gt;=4,"Need Attention",TRUE,"At Risk")</f>
        <v>Potential Loyal Customers</v>
      </c>
    </row>
    <row r="152" spans="1:9" x14ac:dyDescent="0.25">
      <c r="A152" t="s">
        <v>398</v>
      </c>
      <c r="B152" s="5">
        <v>65</v>
      </c>
      <c r="C152" s="5">
        <v>5</v>
      </c>
      <c r="D152" s="2">
        <v>23878.140000000003</v>
      </c>
      <c r="E152" cm="1">
        <f t="array" ref="E152">_xlfn.IFS(
B152&lt;=_xlfn.PERCENTILE.INC($B$2:$B$246,0.2),5,
B152&lt;=_xlfn.PERCENTILE.INC($B$2:$B$246,0.4),4,
B152&lt;=_xlfn.PERCENTILE.INC($B$2:$B$246,0.6),3,
B152&lt;=_xlfn.PERCENTILE.INC($B$2:$B$246,0.8),2,
TRUE,1
)</f>
        <v>4</v>
      </c>
      <c r="F152" cm="1">
        <f t="array" ref="F152">_xlfn.IFS(
C152&gt;=_xlfn.PERCENTILE.INC($C$2:$C$246,0.8),5,
C152&gt;=_xlfn.PERCENTILE.INC($C$2:$C$246,0.6),4,
C152&gt;=_xlfn.PERCENTILE.INC($C$2:$C$246,0.4),3,
C152&gt;=_xlfn.PERCENTILE.INC($C$2:$C$246,0.2),2,
TRUE,1
)</f>
        <v>4</v>
      </c>
      <c r="G152" cm="1">
        <f t="array" ref="G152">_xlfn.IFS(
D152&gt;=_xlfn.PERCENTILE.INC($D$2:$D$246,0.8),5,
D152&gt;=_xlfn.PERCENTILE.INC($D$2:$D$246,0.6),4,
D152&gt;=_xlfn.PERCENTILE.INC($D$2:$D$246,0.4),3,
D152&gt;=_xlfn.PERCENTILE.INC($D$2:$D$246,0.2),2,
TRUE,1
)</f>
        <v>4</v>
      </c>
      <c r="H152">
        <f t="shared" si="2"/>
        <v>12</v>
      </c>
      <c r="I152" t="str" cm="1">
        <f t="array" ref="I152">_xlfn.IFS(H152&gt;=13,"Best Customers",H152&gt;=10,"Loyal Customers",H152&gt;=7,"Potential Loyal Customers",H152&gt;=4,"Need Attention",TRUE,"At Risk")</f>
        <v>Loyal Customers</v>
      </c>
    </row>
    <row r="153" spans="1:9" x14ac:dyDescent="0.25">
      <c r="A153" t="s">
        <v>326</v>
      </c>
      <c r="B153" s="5">
        <v>48</v>
      </c>
      <c r="C153" s="5">
        <v>3</v>
      </c>
      <c r="D153" s="2">
        <v>18676.099999999999</v>
      </c>
      <c r="E153" cm="1">
        <f t="array" ref="E153">_xlfn.IFS(
B153&lt;=_xlfn.PERCENTILE.INC($B$2:$B$246,0.2),5,
B153&lt;=_xlfn.PERCENTILE.INC($B$2:$B$246,0.4),4,
B153&lt;=_xlfn.PERCENTILE.INC($B$2:$B$246,0.6),3,
B153&lt;=_xlfn.PERCENTILE.INC($B$2:$B$246,0.8),2,
TRUE,1
)</f>
        <v>4</v>
      </c>
      <c r="F153" cm="1">
        <f t="array" ref="F153">_xlfn.IFS(
C153&gt;=_xlfn.PERCENTILE.INC($C$2:$C$246,0.8),5,
C153&gt;=_xlfn.PERCENTILE.INC($C$2:$C$246,0.6),4,
C153&gt;=_xlfn.PERCENTILE.INC($C$2:$C$246,0.4),3,
C153&gt;=_xlfn.PERCENTILE.INC($C$2:$C$246,0.2),2,
TRUE,1
)</f>
        <v>3</v>
      </c>
      <c r="G153" cm="1">
        <f t="array" ref="G153">_xlfn.IFS(
D153&gt;=_xlfn.PERCENTILE.INC($D$2:$D$246,0.8),5,
D153&gt;=_xlfn.PERCENTILE.INC($D$2:$D$246,0.6),4,
D153&gt;=_xlfn.PERCENTILE.INC($D$2:$D$246,0.4),3,
D153&gt;=_xlfn.PERCENTILE.INC($D$2:$D$246,0.2),2,
TRUE,1
)</f>
        <v>3</v>
      </c>
      <c r="H153">
        <f t="shared" si="2"/>
        <v>10</v>
      </c>
      <c r="I153" t="str" cm="1">
        <f t="array" ref="I153">_xlfn.IFS(H153&gt;=13,"Best Customers",H153&gt;=10,"Loyal Customers",H153&gt;=7,"Potential Loyal Customers",H153&gt;=4,"Need Attention",TRUE,"At Risk")</f>
        <v>Loyal Customers</v>
      </c>
    </row>
    <row r="154" spans="1:9" x14ac:dyDescent="0.25">
      <c r="A154" t="s">
        <v>735</v>
      </c>
      <c r="B154" s="5">
        <v>455</v>
      </c>
      <c r="C154" s="5">
        <v>4</v>
      </c>
      <c r="D154" s="2">
        <v>16504.04</v>
      </c>
      <c r="E154" cm="1">
        <f t="array" ref="E154">_xlfn.IFS(
B154&lt;=_xlfn.PERCENTILE.INC($B$2:$B$246,0.2),5,
B154&lt;=_xlfn.PERCENTILE.INC($B$2:$B$246,0.4),4,
B154&lt;=_xlfn.PERCENTILE.INC($B$2:$B$246,0.6),3,
B154&lt;=_xlfn.PERCENTILE.INC($B$2:$B$246,0.8),2,
TRUE,1
)</f>
        <v>1</v>
      </c>
      <c r="F154" cm="1">
        <f t="array" ref="F154">_xlfn.IFS(
C154&gt;=_xlfn.PERCENTILE.INC($C$2:$C$246,0.8),5,
C154&gt;=_xlfn.PERCENTILE.INC($C$2:$C$246,0.6),4,
C154&gt;=_xlfn.PERCENTILE.INC($C$2:$C$246,0.4),3,
C154&gt;=_xlfn.PERCENTILE.INC($C$2:$C$246,0.2),2,
TRUE,1
)</f>
        <v>3</v>
      </c>
      <c r="G154" cm="1">
        <f t="array" ref="G154">_xlfn.IFS(
D154&gt;=_xlfn.PERCENTILE.INC($D$2:$D$246,0.8),5,
D154&gt;=_xlfn.PERCENTILE.INC($D$2:$D$246,0.6),4,
D154&gt;=_xlfn.PERCENTILE.INC($D$2:$D$246,0.4),3,
D154&gt;=_xlfn.PERCENTILE.INC($D$2:$D$246,0.2),2,
TRUE,1
)</f>
        <v>3</v>
      </c>
      <c r="H154">
        <f t="shared" si="2"/>
        <v>7</v>
      </c>
      <c r="I154" t="str" cm="1">
        <f t="array" ref="I154">_xlfn.IFS(H154&gt;=13,"Best Customers",H154&gt;=10,"Loyal Customers",H154&gt;=7,"Potential Loyal Customers",H154&gt;=4,"Need Attention",TRUE,"At Risk")</f>
        <v>Potential Loyal Customers</v>
      </c>
    </row>
    <row r="155" spans="1:9" x14ac:dyDescent="0.25">
      <c r="A155" t="s">
        <v>437</v>
      </c>
      <c r="B155" s="5">
        <v>60</v>
      </c>
      <c r="C155" s="5">
        <v>7</v>
      </c>
      <c r="D155" s="2">
        <v>26534.639999999999</v>
      </c>
      <c r="E155" cm="1">
        <f t="array" ref="E155">_xlfn.IFS(
B155&lt;=_xlfn.PERCENTILE.INC($B$2:$B$246,0.2),5,
B155&lt;=_xlfn.PERCENTILE.INC($B$2:$B$246,0.4),4,
B155&lt;=_xlfn.PERCENTILE.INC($B$2:$B$246,0.6),3,
B155&lt;=_xlfn.PERCENTILE.INC($B$2:$B$246,0.8),2,
TRUE,1
)</f>
        <v>4</v>
      </c>
      <c r="F155" cm="1">
        <f t="array" ref="F155">_xlfn.IFS(
C155&gt;=_xlfn.PERCENTILE.INC($C$2:$C$246,0.8),5,
C155&gt;=_xlfn.PERCENTILE.INC($C$2:$C$246,0.6),4,
C155&gt;=_xlfn.PERCENTILE.INC($C$2:$C$246,0.4),3,
C155&gt;=_xlfn.PERCENTILE.INC($C$2:$C$246,0.2),2,
TRUE,1
)</f>
        <v>5</v>
      </c>
      <c r="G155" cm="1">
        <f t="array" ref="G155">_xlfn.IFS(
D155&gt;=_xlfn.PERCENTILE.INC($D$2:$D$246,0.8),5,
D155&gt;=_xlfn.PERCENTILE.INC($D$2:$D$246,0.6),4,
D155&gt;=_xlfn.PERCENTILE.INC($D$2:$D$246,0.4),3,
D155&gt;=_xlfn.PERCENTILE.INC($D$2:$D$246,0.2),2,
TRUE,1
)</f>
        <v>4</v>
      </c>
      <c r="H155">
        <f t="shared" si="2"/>
        <v>13</v>
      </c>
      <c r="I155" t="str" cm="1">
        <f t="array" ref="I155">_xlfn.IFS(H155&gt;=13,"Best Customers",H155&gt;=10,"Loyal Customers",H155&gt;=7,"Potential Loyal Customers",H155&gt;=4,"Need Attention",TRUE,"At Risk")</f>
        <v>Best Customers</v>
      </c>
    </row>
    <row r="156" spans="1:9" x14ac:dyDescent="0.25">
      <c r="A156" t="s">
        <v>1085</v>
      </c>
      <c r="B156" s="5">
        <v>521</v>
      </c>
      <c r="C156" s="5">
        <v>1</v>
      </c>
      <c r="D156" s="2">
        <v>4805.8999999999996</v>
      </c>
      <c r="E156" cm="1">
        <f t="array" ref="E156">_xlfn.IFS(
B156&lt;=_xlfn.PERCENTILE.INC($B$2:$B$246,0.2),5,
B156&lt;=_xlfn.PERCENTILE.INC($B$2:$B$246,0.4),4,
B156&lt;=_xlfn.PERCENTILE.INC($B$2:$B$246,0.6),3,
B156&lt;=_xlfn.PERCENTILE.INC($B$2:$B$246,0.8),2,
TRUE,1
)</f>
        <v>1</v>
      </c>
      <c r="F156" cm="1">
        <f t="array" ref="F156">_xlfn.IFS(
C156&gt;=_xlfn.PERCENTILE.INC($C$2:$C$246,0.8),5,
C156&gt;=_xlfn.PERCENTILE.INC($C$2:$C$246,0.6),4,
C156&gt;=_xlfn.PERCENTILE.INC($C$2:$C$246,0.4),3,
C156&gt;=_xlfn.PERCENTILE.INC($C$2:$C$246,0.2),2,
TRUE,1
)</f>
        <v>1</v>
      </c>
      <c r="G156" cm="1">
        <f t="array" ref="G156">_xlfn.IFS(
D156&gt;=_xlfn.PERCENTILE.INC($D$2:$D$246,0.8),5,
D156&gt;=_xlfn.PERCENTILE.INC($D$2:$D$246,0.6),4,
D156&gt;=_xlfn.PERCENTILE.INC($D$2:$D$246,0.4),3,
D156&gt;=_xlfn.PERCENTILE.INC($D$2:$D$246,0.2),2,
TRUE,1
)</f>
        <v>1</v>
      </c>
      <c r="H156">
        <f t="shared" si="2"/>
        <v>3</v>
      </c>
      <c r="I156" t="str" cm="1">
        <f t="array" ref="I156">_xlfn.IFS(H156&gt;=13,"Best Customers",H156&gt;=10,"Loyal Customers",H156&gt;=7,"Potential Loyal Customers",H156&gt;=4,"Need Attention",TRUE,"At Risk")</f>
        <v>At Risk</v>
      </c>
    </row>
    <row r="157" spans="1:9" x14ac:dyDescent="0.25">
      <c r="A157" t="s">
        <v>258</v>
      </c>
      <c r="B157" s="5">
        <v>333</v>
      </c>
      <c r="C157" s="5">
        <v>6</v>
      </c>
      <c r="D157" s="2">
        <v>19559.7</v>
      </c>
      <c r="E157" cm="1">
        <f t="array" ref="E157">_xlfn.IFS(
B157&lt;=_xlfn.PERCENTILE.INC($B$2:$B$246,0.2),5,
B157&lt;=_xlfn.PERCENTILE.INC($B$2:$B$246,0.4),4,
B157&lt;=_xlfn.PERCENTILE.INC($B$2:$B$246,0.6),3,
B157&lt;=_xlfn.PERCENTILE.INC($B$2:$B$246,0.8),2,
TRUE,1
)</f>
        <v>1</v>
      </c>
      <c r="F157" cm="1">
        <f t="array" ref="F157">_xlfn.IFS(
C157&gt;=_xlfn.PERCENTILE.INC($C$2:$C$246,0.8),5,
C157&gt;=_xlfn.PERCENTILE.INC($C$2:$C$246,0.6),4,
C157&gt;=_xlfn.PERCENTILE.INC($C$2:$C$246,0.4),3,
C157&gt;=_xlfn.PERCENTILE.INC($C$2:$C$246,0.2),2,
TRUE,1
)</f>
        <v>5</v>
      </c>
      <c r="G157" cm="1">
        <f t="array" ref="G157">_xlfn.IFS(
D157&gt;=_xlfn.PERCENTILE.INC($D$2:$D$246,0.8),5,
D157&gt;=_xlfn.PERCENTILE.INC($D$2:$D$246,0.6),4,
D157&gt;=_xlfn.PERCENTILE.INC($D$2:$D$246,0.4),3,
D157&gt;=_xlfn.PERCENTILE.INC($D$2:$D$246,0.2),2,
TRUE,1
)</f>
        <v>3</v>
      </c>
      <c r="H157">
        <f t="shared" si="2"/>
        <v>9</v>
      </c>
      <c r="I157" t="str" cm="1">
        <f t="array" ref="I157">_xlfn.IFS(H157&gt;=13,"Best Customers",H157&gt;=10,"Loyal Customers",H157&gt;=7,"Potential Loyal Customers",H157&gt;=4,"Need Attention",TRUE,"At Risk")</f>
        <v>Potential Loyal Customers</v>
      </c>
    </row>
    <row r="158" spans="1:9" x14ac:dyDescent="0.25">
      <c r="A158" t="s">
        <v>587</v>
      </c>
      <c r="B158" s="5">
        <v>146</v>
      </c>
      <c r="C158" s="5">
        <v>3</v>
      </c>
      <c r="D158" s="2">
        <v>17803.97</v>
      </c>
      <c r="E158" cm="1">
        <f t="array" ref="E158">_xlfn.IFS(
B158&lt;=_xlfn.PERCENTILE.INC($B$2:$B$246,0.2),5,
B158&lt;=_xlfn.PERCENTILE.INC($B$2:$B$246,0.4),4,
B158&lt;=_xlfn.PERCENTILE.INC($B$2:$B$246,0.6),3,
B158&lt;=_xlfn.PERCENTILE.INC($B$2:$B$246,0.8),2,
TRUE,1
)</f>
        <v>3</v>
      </c>
      <c r="F158" cm="1">
        <f t="array" ref="F158">_xlfn.IFS(
C158&gt;=_xlfn.PERCENTILE.INC($C$2:$C$246,0.8),5,
C158&gt;=_xlfn.PERCENTILE.INC($C$2:$C$246,0.6),4,
C158&gt;=_xlfn.PERCENTILE.INC($C$2:$C$246,0.4),3,
C158&gt;=_xlfn.PERCENTILE.INC($C$2:$C$246,0.2),2,
TRUE,1
)</f>
        <v>3</v>
      </c>
      <c r="G158" cm="1">
        <f t="array" ref="G158">_xlfn.IFS(
D158&gt;=_xlfn.PERCENTILE.INC($D$2:$D$246,0.8),5,
D158&gt;=_xlfn.PERCENTILE.INC($D$2:$D$246,0.6),4,
D158&gt;=_xlfn.PERCENTILE.INC($D$2:$D$246,0.4),3,
D158&gt;=_xlfn.PERCENTILE.INC($D$2:$D$246,0.2),2,
TRUE,1
)</f>
        <v>3</v>
      </c>
      <c r="H158">
        <f t="shared" si="2"/>
        <v>9</v>
      </c>
      <c r="I158" t="str" cm="1">
        <f t="array" ref="I158">_xlfn.IFS(H158&gt;=13,"Best Customers",H158&gt;=10,"Loyal Customers",H158&gt;=7,"Potential Loyal Customers",H158&gt;=4,"Need Attention",TRUE,"At Risk")</f>
        <v>Potential Loyal Customers</v>
      </c>
    </row>
    <row r="159" spans="1:9" x14ac:dyDescent="0.25">
      <c r="A159" t="s">
        <v>741</v>
      </c>
      <c r="B159" s="5">
        <v>115</v>
      </c>
      <c r="C159" s="5">
        <v>3</v>
      </c>
      <c r="D159" s="2">
        <v>18380.310000000001</v>
      </c>
      <c r="E159" cm="1">
        <f t="array" ref="E159">_xlfn.IFS(
B159&lt;=_xlfn.PERCENTILE.INC($B$2:$B$246,0.2),5,
B159&lt;=_xlfn.PERCENTILE.INC($B$2:$B$246,0.4),4,
B159&lt;=_xlfn.PERCENTILE.INC($B$2:$B$246,0.6),3,
B159&lt;=_xlfn.PERCENTILE.INC($B$2:$B$246,0.8),2,
TRUE,1
)</f>
        <v>3</v>
      </c>
      <c r="F159" cm="1">
        <f t="array" ref="F159">_xlfn.IFS(
C159&gt;=_xlfn.PERCENTILE.INC($C$2:$C$246,0.8),5,
C159&gt;=_xlfn.PERCENTILE.INC($C$2:$C$246,0.6),4,
C159&gt;=_xlfn.PERCENTILE.INC($C$2:$C$246,0.4),3,
C159&gt;=_xlfn.PERCENTILE.INC($C$2:$C$246,0.2),2,
TRUE,1
)</f>
        <v>3</v>
      </c>
      <c r="G159" cm="1">
        <f t="array" ref="G159">_xlfn.IFS(
D159&gt;=_xlfn.PERCENTILE.INC($D$2:$D$246,0.8),5,
D159&gt;=_xlfn.PERCENTILE.INC($D$2:$D$246,0.6),4,
D159&gt;=_xlfn.PERCENTILE.INC($D$2:$D$246,0.4),3,
D159&gt;=_xlfn.PERCENTILE.INC($D$2:$D$246,0.2),2,
TRUE,1
)</f>
        <v>3</v>
      </c>
      <c r="H159">
        <f t="shared" si="2"/>
        <v>9</v>
      </c>
      <c r="I159" t="str" cm="1">
        <f t="array" ref="I159">_xlfn.IFS(H159&gt;=13,"Best Customers",H159&gt;=10,"Loyal Customers",H159&gt;=7,"Potential Loyal Customers",H159&gt;=4,"Need Attention",TRUE,"At Risk")</f>
        <v>Potential Loyal Customers</v>
      </c>
    </row>
    <row r="160" spans="1:9" x14ac:dyDescent="0.25">
      <c r="A160" t="s">
        <v>52</v>
      </c>
      <c r="B160" s="5">
        <v>35</v>
      </c>
      <c r="C160" s="5">
        <v>5</v>
      </c>
      <c r="D160" s="2">
        <v>36554.300000000003</v>
      </c>
      <c r="E160" cm="1">
        <f t="array" ref="E160">_xlfn.IFS(
B160&lt;=_xlfn.PERCENTILE.INC($B$2:$B$246,0.2),5,
B160&lt;=_xlfn.PERCENTILE.INC($B$2:$B$246,0.4),4,
B160&lt;=_xlfn.PERCENTILE.INC($B$2:$B$246,0.6),3,
B160&lt;=_xlfn.PERCENTILE.INC($B$2:$B$246,0.8),2,
TRUE,1
)</f>
        <v>5</v>
      </c>
      <c r="F160" cm="1">
        <f t="array" ref="F160">_xlfn.IFS(
C160&gt;=_xlfn.PERCENTILE.INC($C$2:$C$246,0.8),5,
C160&gt;=_xlfn.PERCENTILE.INC($C$2:$C$246,0.6),4,
C160&gt;=_xlfn.PERCENTILE.INC($C$2:$C$246,0.4),3,
C160&gt;=_xlfn.PERCENTILE.INC($C$2:$C$246,0.2),2,
TRUE,1
)</f>
        <v>4</v>
      </c>
      <c r="G160" cm="1">
        <f t="array" ref="G160">_xlfn.IFS(
D160&gt;=_xlfn.PERCENTILE.INC($D$2:$D$246,0.8),5,
D160&gt;=_xlfn.PERCENTILE.INC($D$2:$D$246,0.6),4,
D160&gt;=_xlfn.PERCENTILE.INC($D$2:$D$246,0.4),3,
D160&gt;=_xlfn.PERCENTILE.INC($D$2:$D$246,0.2),2,
TRUE,1
)</f>
        <v>5</v>
      </c>
      <c r="H160">
        <f t="shared" si="2"/>
        <v>14</v>
      </c>
      <c r="I160" t="str" cm="1">
        <f t="array" ref="I160">_xlfn.IFS(H160&gt;=13,"Best Customers",H160&gt;=10,"Loyal Customers",H160&gt;=7,"Potential Loyal Customers",H160&gt;=4,"Need Attention",TRUE,"At Risk")</f>
        <v>Best Customers</v>
      </c>
    </row>
    <row r="161" spans="1:9" x14ac:dyDescent="0.25">
      <c r="A161" t="s">
        <v>593</v>
      </c>
      <c r="B161" s="5">
        <v>71</v>
      </c>
      <c r="C161" s="5">
        <v>5</v>
      </c>
      <c r="D161" s="2">
        <v>23692.1</v>
      </c>
      <c r="E161" cm="1">
        <f t="array" ref="E161">_xlfn.IFS(
B161&lt;=_xlfn.PERCENTILE.INC($B$2:$B$246,0.2),5,
B161&lt;=_xlfn.PERCENTILE.INC($B$2:$B$246,0.4),4,
B161&lt;=_xlfn.PERCENTILE.INC($B$2:$B$246,0.6),3,
B161&lt;=_xlfn.PERCENTILE.INC($B$2:$B$246,0.8),2,
TRUE,1
)</f>
        <v>4</v>
      </c>
      <c r="F161" cm="1">
        <f t="array" ref="F161">_xlfn.IFS(
C161&gt;=_xlfn.PERCENTILE.INC($C$2:$C$246,0.8),5,
C161&gt;=_xlfn.PERCENTILE.INC($C$2:$C$246,0.6),4,
C161&gt;=_xlfn.PERCENTILE.INC($C$2:$C$246,0.4),3,
C161&gt;=_xlfn.PERCENTILE.INC($C$2:$C$246,0.2),2,
TRUE,1
)</f>
        <v>4</v>
      </c>
      <c r="G161" cm="1">
        <f t="array" ref="G161">_xlfn.IFS(
D161&gt;=_xlfn.PERCENTILE.INC($D$2:$D$246,0.8),5,
D161&gt;=_xlfn.PERCENTILE.INC($D$2:$D$246,0.6),4,
D161&gt;=_xlfn.PERCENTILE.INC($D$2:$D$246,0.4),3,
D161&gt;=_xlfn.PERCENTILE.INC($D$2:$D$246,0.2),2,
TRUE,1
)</f>
        <v>4</v>
      </c>
      <c r="H161">
        <f t="shared" si="2"/>
        <v>12</v>
      </c>
      <c r="I161" t="str" cm="1">
        <f t="array" ref="I161">_xlfn.IFS(H161&gt;=13,"Best Customers",H161&gt;=10,"Loyal Customers",H161&gt;=7,"Potential Loyal Customers",H161&gt;=4,"Need Attention",TRUE,"At Risk")</f>
        <v>Loyal Customers</v>
      </c>
    </row>
    <row r="162" spans="1:9" x14ac:dyDescent="0.25">
      <c r="A162" t="s">
        <v>216</v>
      </c>
      <c r="B162" s="5">
        <v>112</v>
      </c>
      <c r="C162" s="5">
        <v>5</v>
      </c>
      <c r="D162" s="2">
        <v>19614.8</v>
      </c>
      <c r="E162" cm="1">
        <f t="array" ref="E162">_xlfn.IFS(
B162&lt;=_xlfn.PERCENTILE.INC($B$2:$B$246,0.2),5,
B162&lt;=_xlfn.PERCENTILE.INC($B$2:$B$246,0.4),4,
B162&lt;=_xlfn.PERCENTILE.INC($B$2:$B$246,0.6),3,
B162&lt;=_xlfn.PERCENTILE.INC($B$2:$B$246,0.8),2,
TRUE,1
)</f>
        <v>3</v>
      </c>
      <c r="F162" cm="1">
        <f t="array" ref="F162">_xlfn.IFS(
C162&gt;=_xlfn.PERCENTILE.INC($C$2:$C$246,0.8),5,
C162&gt;=_xlfn.PERCENTILE.INC($C$2:$C$246,0.6),4,
C162&gt;=_xlfn.PERCENTILE.INC($C$2:$C$246,0.4),3,
C162&gt;=_xlfn.PERCENTILE.INC($C$2:$C$246,0.2),2,
TRUE,1
)</f>
        <v>4</v>
      </c>
      <c r="G162" cm="1">
        <f t="array" ref="G162">_xlfn.IFS(
D162&gt;=_xlfn.PERCENTILE.INC($D$2:$D$246,0.8),5,
D162&gt;=_xlfn.PERCENTILE.INC($D$2:$D$246,0.6),4,
D162&gt;=_xlfn.PERCENTILE.INC($D$2:$D$246,0.4),3,
D162&gt;=_xlfn.PERCENTILE.INC($D$2:$D$246,0.2),2,
TRUE,1
)</f>
        <v>3</v>
      </c>
      <c r="H162">
        <f t="shared" si="2"/>
        <v>10</v>
      </c>
      <c r="I162" t="str" cm="1">
        <f t="array" ref="I162">_xlfn.IFS(H162&gt;=13,"Best Customers",H162&gt;=10,"Loyal Customers",H162&gt;=7,"Potential Loyal Customers",H162&gt;=4,"Need Attention",TRUE,"At Risk")</f>
        <v>Loyal Customers</v>
      </c>
    </row>
    <row r="163" spans="1:9" x14ac:dyDescent="0.25">
      <c r="A163" t="s">
        <v>364</v>
      </c>
      <c r="B163" s="5">
        <v>213</v>
      </c>
      <c r="C163" s="5">
        <v>1</v>
      </c>
      <c r="D163" s="2">
        <v>2058.4299999999998</v>
      </c>
      <c r="E163" cm="1">
        <f t="array" ref="E163">_xlfn.IFS(
B163&lt;=_xlfn.PERCENTILE.INC($B$2:$B$246,0.2),5,
B163&lt;=_xlfn.PERCENTILE.INC($B$2:$B$246,0.4),4,
B163&lt;=_xlfn.PERCENTILE.INC($B$2:$B$246,0.6),3,
B163&lt;=_xlfn.PERCENTILE.INC($B$2:$B$246,0.8),2,
TRUE,1
)</f>
        <v>2</v>
      </c>
      <c r="F163" cm="1">
        <f t="array" ref="F163">_xlfn.IFS(
C163&gt;=_xlfn.PERCENTILE.INC($C$2:$C$246,0.8),5,
C163&gt;=_xlfn.PERCENTILE.INC($C$2:$C$246,0.6),4,
C163&gt;=_xlfn.PERCENTILE.INC($C$2:$C$246,0.4),3,
C163&gt;=_xlfn.PERCENTILE.INC($C$2:$C$246,0.2),2,
TRUE,1
)</f>
        <v>1</v>
      </c>
      <c r="G163" cm="1">
        <f t="array" ref="G163">_xlfn.IFS(
D163&gt;=_xlfn.PERCENTILE.INC($D$2:$D$246,0.8),5,
D163&gt;=_xlfn.PERCENTILE.INC($D$2:$D$246,0.6),4,
D163&gt;=_xlfn.PERCENTILE.INC($D$2:$D$246,0.4),3,
D163&gt;=_xlfn.PERCENTILE.INC($D$2:$D$246,0.2),2,
TRUE,1
)</f>
        <v>1</v>
      </c>
      <c r="H163">
        <f t="shared" si="2"/>
        <v>4</v>
      </c>
      <c r="I163" t="str" cm="1">
        <f t="array" ref="I163">_xlfn.IFS(H163&gt;=13,"Best Customers",H163&gt;=10,"Loyal Customers",H163&gt;=7,"Potential Loyal Customers",H163&gt;=4,"Need Attention",TRUE,"At Risk")</f>
        <v>Need Attention</v>
      </c>
    </row>
    <row r="164" spans="1:9" x14ac:dyDescent="0.25">
      <c r="A164" t="s">
        <v>137</v>
      </c>
      <c r="B164" s="5">
        <v>13</v>
      </c>
      <c r="C164" s="5">
        <v>6</v>
      </c>
      <c r="D164" s="2">
        <v>27341.309999999998</v>
      </c>
      <c r="E164" cm="1">
        <f t="array" ref="E164">_xlfn.IFS(
B164&lt;=_xlfn.PERCENTILE.INC($B$2:$B$246,0.2),5,
B164&lt;=_xlfn.PERCENTILE.INC($B$2:$B$246,0.4),4,
B164&lt;=_xlfn.PERCENTILE.INC($B$2:$B$246,0.6),3,
B164&lt;=_xlfn.PERCENTILE.INC($B$2:$B$246,0.8),2,
TRUE,1
)</f>
        <v>5</v>
      </c>
      <c r="F164" cm="1">
        <f t="array" ref="F164">_xlfn.IFS(
C164&gt;=_xlfn.PERCENTILE.INC($C$2:$C$246,0.8),5,
C164&gt;=_xlfn.PERCENTILE.INC($C$2:$C$246,0.6),4,
C164&gt;=_xlfn.PERCENTILE.INC($C$2:$C$246,0.4),3,
C164&gt;=_xlfn.PERCENTILE.INC($C$2:$C$246,0.2),2,
TRUE,1
)</f>
        <v>5</v>
      </c>
      <c r="G164" cm="1">
        <f t="array" ref="G164">_xlfn.IFS(
D164&gt;=_xlfn.PERCENTILE.INC($D$2:$D$246,0.8),5,
D164&gt;=_xlfn.PERCENTILE.INC($D$2:$D$246,0.6),4,
D164&gt;=_xlfn.PERCENTILE.INC($D$2:$D$246,0.4),3,
D164&gt;=_xlfn.PERCENTILE.INC($D$2:$D$246,0.2),2,
TRUE,1
)</f>
        <v>4</v>
      </c>
      <c r="H164">
        <f t="shared" si="2"/>
        <v>14</v>
      </c>
      <c r="I164" t="str" cm="1">
        <f t="array" ref="I164">_xlfn.IFS(H164&gt;=13,"Best Customers",H164&gt;=10,"Loyal Customers",H164&gt;=7,"Potential Loyal Customers",H164&gt;=4,"Need Attention",TRUE,"At Risk")</f>
        <v>Best Customers</v>
      </c>
    </row>
    <row r="165" spans="1:9" x14ac:dyDescent="0.25">
      <c r="A165" t="s">
        <v>905</v>
      </c>
      <c r="B165" s="5">
        <v>190</v>
      </c>
      <c r="C165" s="5">
        <v>4</v>
      </c>
      <c r="D165" s="2">
        <v>25987.39</v>
      </c>
      <c r="E165" cm="1">
        <f t="array" ref="E165">_xlfn.IFS(
B165&lt;=_xlfn.PERCENTILE.INC($B$2:$B$246,0.2),5,
B165&lt;=_xlfn.PERCENTILE.INC($B$2:$B$246,0.4),4,
B165&lt;=_xlfn.PERCENTILE.INC($B$2:$B$246,0.6),3,
B165&lt;=_xlfn.PERCENTILE.INC($B$2:$B$246,0.8),2,
TRUE,1
)</f>
        <v>2</v>
      </c>
      <c r="F165" cm="1">
        <f t="array" ref="F165">_xlfn.IFS(
C165&gt;=_xlfn.PERCENTILE.INC($C$2:$C$246,0.8),5,
C165&gt;=_xlfn.PERCENTILE.INC($C$2:$C$246,0.6),4,
C165&gt;=_xlfn.PERCENTILE.INC($C$2:$C$246,0.4),3,
C165&gt;=_xlfn.PERCENTILE.INC($C$2:$C$246,0.2),2,
TRUE,1
)</f>
        <v>3</v>
      </c>
      <c r="G165" cm="1">
        <f t="array" ref="G165">_xlfn.IFS(
D165&gt;=_xlfn.PERCENTILE.INC($D$2:$D$246,0.8),5,
D165&gt;=_xlfn.PERCENTILE.INC($D$2:$D$246,0.6),4,
D165&gt;=_xlfn.PERCENTILE.INC($D$2:$D$246,0.4),3,
D165&gt;=_xlfn.PERCENTILE.INC($D$2:$D$246,0.2),2,
TRUE,1
)</f>
        <v>4</v>
      </c>
      <c r="H165">
        <f t="shared" si="2"/>
        <v>9</v>
      </c>
      <c r="I165" t="str" cm="1">
        <f t="array" ref="I165">_xlfn.IFS(H165&gt;=13,"Best Customers",H165&gt;=10,"Loyal Customers",H165&gt;=7,"Potential Loyal Customers",H165&gt;=4,"Need Attention",TRUE,"At Risk")</f>
        <v>Potential Loyal Customers</v>
      </c>
    </row>
    <row r="166" spans="1:9" x14ac:dyDescent="0.25">
      <c r="A166" t="s">
        <v>40</v>
      </c>
      <c r="B166" s="5">
        <v>80</v>
      </c>
      <c r="C166" s="5">
        <v>7</v>
      </c>
      <c r="D166" s="2">
        <v>36773.69</v>
      </c>
      <c r="E166" cm="1">
        <f t="array" ref="E166">_xlfn.IFS(
B166&lt;=_xlfn.PERCENTILE.INC($B$2:$B$246,0.2),5,
B166&lt;=_xlfn.PERCENTILE.INC($B$2:$B$246,0.4),4,
B166&lt;=_xlfn.PERCENTILE.INC($B$2:$B$246,0.6),3,
B166&lt;=_xlfn.PERCENTILE.INC($B$2:$B$246,0.8),2,
TRUE,1
)</f>
        <v>4</v>
      </c>
      <c r="F166" cm="1">
        <f t="array" ref="F166">_xlfn.IFS(
C166&gt;=_xlfn.PERCENTILE.INC($C$2:$C$246,0.8),5,
C166&gt;=_xlfn.PERCENTILE.INC($C$2:$C$246,0.6),4,
C166&gt;=_xlfn.PERCENTILE.INC($C$2:$C$246,0.4),3,
C166&gt;=_xlfn.PERCENTILE.INC($C$2:$C$246,0.2),2,
TRUE,1
)</f>
        <v>5</v>
      </c>
      <c r="G166" cm="1">
        <f t="array" ref="G166">_xlfn.IFS(
D166&gt;=_xlfn.PERCENTILE.INC($D$2:$D$246,0.8),5,
D166&gt;=_xlfn.PERCENTILE.INC($D$2:$D$246,0.6),4,
D166&gt;=_xlfn.PERCENTILE.INC($D$2:$D$246,0.4),3,
D166&gt;=_xlfn.PERCENTILE.INC($D$2:$D$246,0.2),2,
TRUE,1
)</f>
        <v>5</v>
      </c>
      <c r="H166">
        <f t="shared" si="2"/>
        <v>14</v>
      </c>
      <c r="I166" t="str" cm="1">
        <f t="array" ref="I166">_xlfn.IFS(H166&gt;=13,"Best Customers",H166&gt;=10,"Loyal Customers",H166&gt;=7,"Potential Loyal Customers",H166&gt;=4,"Need Attention",TRUE,"At Risk")</f>
        <v>Best Customers</v>
      </c>
    </row>
    <row r="167" spans="1:9" x14ac:dyDescent="0.25">
      <c r="A167" t="s">
        <v>242</v>
      </c>
      <c r="B167" s="5">
        <v>63</v>
      </c>
      <c r="C167" s="5">
        <v>4</v>
      </c>
      <c r="D167" s="2">
        <v>12512.919999999998</v>
      </c>
      <c r="E167" cm="1">
        <f t="array" ref="E167">_xlfn.IFS(
B167&lt;=_xlfn.PERCENTILE.INC($B$2:$B$246,0.2),5,
B167&lt;=_xlfn.PERCENTILE.INC($B$2:$B$246,0.4),4,
B167&lt;=_xlfn.PERCENTILE.INC($B$2:$B$246,0.6),3,
B167&lt;=_xlfn.PERCENTILE.INC($B$2:$B$246,0.8),2,
TRUE,1
)</f>
        <v>4</v>
      </c>
      <c r="F167" cm="1">
        <f t="array" ref="F167">_xlfn.IFS(
C167&gt;=_xlfn.PERCENTILE.INC($C$2:$C$246,0.8),5,
C167&gt;=_xlfn.PERCENTILE.INC($C$2:$C$246,0.6),4,
C167&gt;=_xlfn.PERCENTILE.INC($C$2:$C$246,0.4),3,
C167&gt;=_xlfn.PERCENTILE.INC($C$2:$C$246,0.2),2,
TRUE,1
)</f>
        <v>3</v>
      </c>
      <c r="G167" cm="1">
        <f t="array" ref="G167">_xlfn.IFS(
D167&gt;=_xlfn.PERCENTILE.INC($D$2:$D$246,0.8),5,
D167&gt;=_xlfn.PERCENTILE.INC($D$2:$D$246,0.6),4,
D167&gt;=_xlfn.PERCENTILE.INC($D$2:$D$246,0.4),3,
D167&gt;=_xlfn.PERCENTILE.INC($D$2:$D$246,0.2),2,
TRUE,1
)</f>
        <v>2</v>
      </c>
      <c r="H167">
        <f t="shared" si="2"/>
        <v>9</v>
      </c>
      <c r="I167" t="str" cm="1">
        <f t="array" ref="I167">_xlfn.IFS(H167&gt;=13,"Best Customers",H167&gt;=10,"Loyal Customers",H167&gt;=7,"Potential Loyal Customers",H167&gt;=4,"Need Attention",TRUE,"At Risk")</f>
        <v>Potential Loyal Customers</v>
      </c>
    </row>
    <row r="168" spans="1:9" x14ac:dyDescent="0.25">
      <c r="A168" t="s">
        <v>329</v>
      </c>
      <c r="B168" s="5">
        <v>80</v>
      </c>
      <c r="C168" s="5">
        <v>4</v>
      </c>
      <c r="D168" s="2">
        <v>32944.449999999997</v>
      </c>
      <c r="E168" cm="1">
        <f t="array" ref="E168">_xlfn.IFS(
B168&lt;=_xlfn.PERCENTILE.INC($B$2:$B$246,0.2),5,
B168&lt;=_xlfn.PERCENTILE.INC($B$2:$B$246,0.4),4,
B168&lt;=_xlfn.PERCENTILE.INC($B$2:$B$246,0.6),3,
B168&lt;=_xlfn.PERCENTILE.INC($B$2:$B$246,0.8),2,
TRUE,1
)</f>
        <v>4</v>
      </c>
      <c r="F168" cm="1">
        <f t="array" ref="F168">_xlfn.IFS(
C168&gt;=_xlfn.PERCENTILE.INC($C$2:$C$246,0.8),5,
C168&gt;=_xlfn.PERCENTILE.INC($C$2:$C$246,0.6),4,
C168&gt;=_xlfn.PERCENTILE.INC($C$2:$C$246,0.4),3,
C168&gt;=_xlfn.PERCENTILE.INC($C$2:$C$246,0.2),2,
TRUE,1
)</f>
        <v>3</v>
      </c>
      <c r="G168" cm="1">
        <f t="array" ref="G168">_xlfn.IFS(
D168&gt;=_xlfn.PERCENTILE.INC($D$2:$D$246,0.8),5,
D168&gt;=_xlfn.PERCENTILE.INC($D$2:$D$246,0.6),4,
D168&gt;=_xlfn.PERCENTILE.INC($D$2:$D$246,0.4),3,
D168&gt;=_xlfn.PERCENTILE.INC($D$2:$D$246,0.2),2,
TRUE,1
)</f>
        <v>5</v>
      </c>
      <c r="H168">
        <f t="shared" si="2"/>
        <v>12</v>
      </c>
      <c r="I168" t="str" cm="1">
        <f t="array" ref="I168">_xlfn.IFS(H168&gt;=13,"Best Customers",H168&gt;=10,"Loyal Customers",H168&gt;=7,"Potential Loyal Customers",H168&gt;=4,"Need Attention",TRUE,"At Risk")</f>
        <v>Loyal Customers</v>
      </c>
    </row>
    <row r="169" spans="1:9" x14ac:dyDescent="0.25">
      <c r="A169" t="s">
        <v>114</v>
      </c>
      <c r="B169" s="5">
        <v>363</v>
      </c>
      <c r="C169" s="5">
        <v>3</v>
      </c>
      <c r="D169" s="2">
        <v>12513.98</v>
      </c>
      <c r="E169" cm="1">
        <f t="array" ref="E169">_xlfn.IFS(
B169&lt;=_xlfn.PERCENTILE.INC($B$2:$B$246,0.2),5,
B169&lt;=_xlfn.PERCENTILE.INC($B$2:$B$246,0.4),4,
B169&lt;=_xlfn.PERCENTILE.INC($B$2:$B$246,0.6),3,
B169&lt;=_xlfn.PERCENTILE.INC($B$2:$B$246,0.8),2,
TRUE,1
)</f>
        <v>1</v>
      </c>
      <c r="F169" cm="1">
        <f t="array" ref="F169">_xlfn.IFS(
C169&gt;=_xlfn.PERCENTILE.INC($C$2:$C$246,0.8),5,
C169&gt;=_xlfn.PERCENTILE.INC($C$2:$C$246,0.6),4,
C169&gt;=_xlfn.PERCENTILE.INC($C$2:$C$246,0.4),3,
C169&gt;=_xlfn.PERCENTILE.INC($C$2:$C$246,0.2),2,
TRUE,1
)</f>
        <v>3</v>
      </c>
      <c r="G169" cm="1">
        <f t="array" ref="G169">_xlfn.IFS(
D169&gt;=_xlfn.PERCENTILE.INC($D$2:$D$246,0.8),5,
D169&gt;=_xlfn.PERCENTILE.INC($D$2:$D$246,0.6),4,
D169&gt;=_xlfn.PERCENTILE.INC($D$2:$D$246,0.4),3,
D169&gt;=_xlfn.PERCENTILE.INC($D$2:$D$246,0.2),2,
TRUE,1
)</f>
        <v>2</v>
      </c>
      <c r="H169">
        <f t="shared" si="2"/>
        <v>6</v>
      </c>
      <c r="I169" t="str" cm="1">
        <f t="array" ref="I169">_xlfn.IFS(H169&gt;=13,"Best Customers",H169&gt;=10,"Loyal Customers",H169&gt;=7,"Potential Loyal Customers",H169&gt;=4,"Need Attention",TRUE,"At Risk")</f>
        <v>Need Attention</v>
      </c>
    </row>
    <row r="170" spans="1:9" x14ac:dyDescent="0.25">
      <c r="A170" t="s">
        <v>366</v>
      </c>
      <c r="B170" s="5">
        <v>170</v>
      </c>
      <c r="C170" s="5">
        <v>6</v>
      </c>
      <c r="D170" s="2">
        <v>18861.68</v>
      </c>
      <c r="E170" cm="1">
        <f t="array" ref="E170">_xlfn.IFS(
B170&lt;=_xlfn.PERCENTILE.INC($B$2:$B$246,0.2),5,
B170&lt;=_xlfn.PERCENTILE.INC($B$2:$B$246,0.4),4,
B170&lt;=_xlfn.PERCENTILE.INC($B$2:$B$246,0.6),3,
B170&lt;=_xlfn.PERCENTILE.INC($B$2:$B$246,0.8),2,
TRUE,1
)</f>
        <v>3</v>
      </c>
      <c r="F170" cm="1">
        <f t="array" ref="F170">_xlfn.IFS(
C170&gt;=_xlfn.PERCENTILE.INC($C$2:$C$246,0.8),5,
C170&gt;=_xlfn.PERCENTILE.INC($C$2:$C$246,0.6),4,
C170&gt;=_xlfn.PERCENTILE.INC($C$2:$C$246,0.4),3,
C170&gt;=_xlfn.PERCENTILE.INC($C$2:$C$246,0.2),2,
TRUE,1
)</f>
        <v>5</v>
      </c>
      <c r="G170" cm="1">
        <f t="array" ref="G170">_xlfn.IFS(
D170&gt;=_xlfn.PERCENTILE.INC($D$2:$D$246,0.8),5,
D170&gt;=_xlfn.PERCENTILE.INC($D$2:$D$246,0.6),4,
D170&gt;=_xlfn.PERCENTILE.INC($D$2:$D$246,0.4),3,
D170&gt;=_xlfn.PERCENTILE.INC($D$2:$D$246,0.2),2,
TRUE,1
)</f>
        <v>3</v>
      </c>
      <c r="H170">
        <f t="shared" si="2"/>
        <v>11</v>
      </c>
      <c r="I170" t="str" cm="1">
        <f t="array" ref="I170">_xlfn.IFS(H170&gt;=13,"Best Customers",H170&gt;=10,"Loyal Customers",H170&gt;=7,"Potential Loyal Customers",H170&gt;=4,"Need Attention",TRUE,"At Risk")</f>
        <v>Loyal Customers</v>
      </c>
    </row>
    <row r="171" spans="1:9" x14ac:dyDescent="0.25">
      <c r="A171" t="s">
        <v>277</v>
      </c>
      <c r="B171" s="5">
        <v>66</v>
      </c>
      <c r="C171" s="5">
        <v>3</v>
      </c>
      <c r="D171" s="2">
        <v>19458.02</v>
      </c>
      <c r="E171" cm="1">
        <f t="array" ref="E171">_xlfn.IFS(
B171&lt;=_xlfn.PERCENTILE.INC($B$2:$B$246,0.2),5,
B171&lt;=_xlfn.PERCENTILE.INC($B$2:$B$246,0.4),4,
B171&lt;=_xlfn.PERCENTILE.INC($B$2:$B$246,0.6),3,
B171&lt;=_xlfn.PERCENTILE.INC($B$2:$B$246,0.8),2,
TRUE,1
)</f>
        <v>4</v>
      </c>
      <c r="F171" cm="1">
        <f t="array" ref="F171">_xlfn.IFS(
C171&gt;=_xlfn.PERCENTILE.INC($C$2:$C$246,0.8),5,
C171&gt;=_xlfn.PERCENTILE.INC($C$2:$C$246,0.6),4,
C171&gt;=_xlfn.PERCENTILE.INC($C$2:$C$246,0.4),3,
C171&gt;=_xlfn.PERCENTILE.INC($C$2:$C$246,0.2),2,
TRUE,1
)</f>
        <v>3</v>
      </c>
      <c r="G171" cm="1">
        <f t="array" ref="G171">_xlfn.IFS(
D171&gt;=_xlfn.PERCENTILE.INC($D$2:$D$246,0.8),5,
D171&gt;=_xlfn.PERCENTILE.INC($D$2:$D$246,0.6),4,
D171&gt;=_xlfn.PERCENTILE.INC($D$2:$D$246,0.4),3,
D171&gt;=_xlfn.PERCENTILE.INC($D$2:$D$246,0.2),2,
TRUE,1
)</f>
        <v>3</v>
      </c>
      <c r="H171">
        <f t="shared" si="2"/>
        <v>10</v>
      </c>
      <c r="I171" t="str" cm="1">
        <f t="array" ref="I171">_xlfn.IFS(H171&gt;=13,"Best Customers",H171&gt;=10,"Loyal Customers",H171&gt;=7,"Potential Loyal Customers",H171&gt;=4,"Need Attention",TRUE,"At Risk")</f>
        <v>Loyal Customers</v>
      </c>
    </row>
    <row r="172" spans="1:9" x14ac:dyDescent="0.25">
      <c r="A172" t="s">
        <v>505</v>
      </c>
      <c r="B172" s="5">
        <v>67</v>
      </c>
      <c r="C172" s="5">
        <v>3</v>
      </c>
      <c r="D172" s="2">
        <v>16225.439999999999</v>
      </c>
      <c r="E172" cm="1">
        <f t="array" ref="E172">_xlfn.IFS(
B172&lt;=_xlfn.PERCENTILE.INC($B$2:$B$246,0.2),5,
B172&lt;=_xlfn.PERCENTILE.INC($B$2:$B$246,0.4),4,
B172&lt;=_xlfn.PERCENTILE.INC($B$2:$B$246,0.6),3,
B172&lt;=_xlfn.PERCENTILE.INC($B$2:$B$246,0.8),2,
TRUE,1
)</f>
        <v>4</v>
      </c>
      <c r="F172" cm="1">
        <f t="array" ref="F172">_xlfn.IFS(
C172&gt;=_xlfn.PERCENTILE.INC($C$2:$C$246,0.8),5,
C172&gt;=_xlfn.PERCENTILE.INC($C$2:$C$246,0.6),4,
C172&gt;=_xlfn.PERCENTILE.INC($C$2:$C$246,0.4),3,
C172&gt;=_xlfn.PERCENTILE.INC($C$2:$C$246,0.2),2,
TRUE,1
)</f>
        <v>3</v>
      </c>
      <c r="G172" cm="1">
        <f t="array" ref="G172">_xlfn.IFS(
D172&gt;=_xlfn.PERCENTILE.INC($D$2:$D$246,0.8),5,
D172&gt;=_xlfn.PERCENTILE.INC($D$2:$D$246,0.6),4,
D172&gt;=_xlfn.PERCENTILE.INC($D$2:$D$246,0.4),3,
D172&gt;=_xlfn.PERCENTILE.INC($D$2:$D$246,0.2),2,
TRUE,1
)</f>
        <v>2</v>
      </c>
      <c r="H172">
        <f t="shared" si="2"/>
        <v>9</v>
      </c>
      <c r="I172" t="str" cm="1">
        <f t="array" ref="I172">_xlfn.IFS(H172&gt;=13,"Best Customers",H172&gt;=10,"Loyal Customers",H172&gt;=7,"Potential Loyal Customers",H172&gt;=4,"Need Attention",TRUE,"At Risk")</f>
        <v>Potential Loyal Customers</v>
      </c>
    </row>
    <row r="173" spans="1:9" x14ac:dyDescent="0.25">
      <c r="A173" t="s">
        <v>819</v>
      </c>
      <c r="B173" s="5">
        <v>385</v>
      </c>
      <c r="C173" s="5">
        <v>2</v>
      </c>
      <c r="D173" s="2">
        <v>10288.290000000001</v>
      </c>
      <c r="E173" cm="1">
        <f t="array" ref="E173">_xlfn.IFS(
B173&lt;=_xlfn.PERCENTILE.INC($B$2:$B$246,0.2),5,
B173&lt;=_xlfn.PERCENTILE.INC($B$2:$B$246,0.4),4,
B173&lt;=_xlfn.PERCENTILE.INC($B$2:$B$246,0.6),3,
B173&lt;=_xlfn.PERCENTILE.INC($B$2:$B$246,0.8),2,
TRUE,1
)</f>
        <v>1</v>
      </c>
      <c r="F173" cm="1">
        <f t="array" ref="F173">_xlfn.IFS(
C173&gt;=_xlfn.PERCENTILE.INC($C$2:$C$246,0.8),5,
C173&gt;=_xlfn.PERCENTILE.INC($C$2:$C$246,0.6),4,
C173&gt;=_xlfn.PERCENTILE.INC($C$2:$C$246,0.4),3,
C173&gt;=_xlfn.PERCENTILE.INC($C$2:$C$246,0.2),2,
TRUE,1
)</f>
        <v>2</v>
      </c>
      <c r="G173" cm="1">
        <f t="array" ref="G173">_xlfn.IFS(
D173&gt;=_xlfn.PERCENTILE.INC($D$2:$D$246,0.8),5,
D173&gt;=_xlfn.PERCENTILE.INC($D$2:$D$246,0.6),4,
D173&gt;=_xlfn.PERCENTILE.INC($D$2:$D$246,0.4),3,
D173&gt;=_xlfn.PERCENTILE.INC($D$2:$D$246,0.2),2,
TRUE,1
)</f>
        <v>1</v>
      </c>
      <c r="H173">
        <f t="shared" si="2"/>
        <v>4</v>
      </c>
      <c r="I173" t="str" cm="1">
        <f t="array" ref="I173">_xlfn.IFS(H173&gt;=13,"Best Customers",H173&gt;=10,"Loyal Customers",H173&gt;=7,"Potential Loyal Customers",H173&gt;=4,"Need Attention",TRUE,"At Risk")</f>
        <v>Need Attention</v>
      </c>
    </row>
    <row r="174" spans="1:9" x14ac:dyDescent="0.25">
      <c r="A174" t="s">
        <v>166</v>
      </c>
      <c r="B174" s="5">
        <v>240</v>
      </c>
      <c r="C174" s="5">
        <v>6</v>
      </c>
      <c r="D174" s="2">
        <v>27413.59</v>
      </c>
      <c r="E174" cm="1">
        <f t="array" ref="E174">_xlfn.IFS(
B174&lt;=_xlfn.PERCENTILE.INC($B$2:$B$246,0.2),5,
B174&lt;=_xlfn.PERCENTILE.INC($B$2:$B$246,0.4),4,
B174&lt;=_xlfn.PERCENTILE.INC($B$2:$B$246,0.6),3,
B174&lt;=_xlfn.PERCENTILE.INC($B$2:$B$246,0.8),2,
TRUE,1
)</f>
        <v>2</v>
      </c>
      <c r="F174" cm="1">
        <f t="array" ref="F174">_xlfn.IFS(
C174&gt;=_xlfn.PERCENTILE.INC($C$2:$C$246,0.8),5,
C174&gt;=_xlfn.PERCENTILE.INC($C$2:$C$246,0.6),4,
C174&gt;=_xlfn.PERCENTILE.INC($C$2:$C$246,0.4),3,
C174&gt;=_xlfn.PERCENTILE.INC($C$2:$C$246,0.2),2,
TRUE,1
)</f>
        <v>5</v>
      </c>
      <c r="G174" cm="1">
        <f t="array" ref="G174">_xlfn.IFS(
D174&gt;=_xlfn.PERCENTILE.INC($D$2:$D$246,0.8),5,
D174&gt;=_xlfn.PERCENTILE.INC($D$2:$D$246,0.6),4,
D174&gt;=_xlfn.PERCENTILE.INC($D$2:$D$246,0.4),3,
D174&gt;=_xlfn.PERCENTILE.INC($D$2:$D$246,0.2),2,
TRUE,1
)</f>
        <v>4</v>
      </c>
      <c r="H174">
        <f t="shared" si="2"/>
        <v>11</v>
      </c>
      <c r="I174" t="str" cm="1">
        <f t="array" ref="I174">_xlfn.IFS(H174&gt;=13,"Best Customers",H174&gt;=10,"Loyal Customers",H174&gt;=7,"Potential Loyal Customers",H174&gt;=4,"Need Attention",TRUE,"At Risk")</f>
        <v>Loyal Customers</v>
      </c>
    </row>
    <row r="175" spans="1:9" x14ac:dyDescent="0.25">
      <c r="A175" t="s">
        <v>42</v>
      </c>
      <c r="B175" s="5">
        <v>123</v>
      </c>
      <c r="C175" s="5">
        <v>4</v>
      </c>
      <c r="D175" s="2">
        <v>21966.11</v>
      </c>
      <c r="E175" cm="1">
        <f t="array" ref="E175">_xlfn.IFS(
B175&lt;=_xlfn.PERCENTILE.INC($B$2:$B$246,0.2),5,
B175&lt;=_xlfn.PERCENTILE.INC($B$2:$B$246,0.4),4,
B175&lt;=_xlfn.PERCENTILE.INC($B$2:$B$246,0.6),3,
B175&lt;=_xlfn.PERCENTILE.INC($B$2:$B$246,0.8),2,
TRUE,1
)</f>
        <v>3</v>
      </c>
      <c r="F175" cm="1">
        <f t="array" ref="F175">_xlfn.IFS(
C175&gt;=_xlfn.PERCENTILE.INC($C$2:$C$246,0.8),5,
C175&gt;=_xlfn.PERCENTILE.INC($C$2:$C$246,0.6),4,
C175&gt;=_xlfn.PERCENTILE.INC($C$2:$C$246,0.4),3,
C175&gt;=_xlfn.PERCENTILE.INC($C$2:$C$246,0.2),2,
TRUE,1
)</f>
        <v>3</v>
      </c>
      <c r="G175" cm="1">
        <f t="array" ref="G175">_xlfn.IFS(
D175&gt;=_xlfn.PERCENTILE.INC($D$2:$D$246,0.8),5,
D175&gt;=_xlfn.PERCENTILE.INC($D$2:$D$246,0.6),4,
D175&gt;=_xlfn.PERCENTILE.INC($D$2:$D$246,0.4),3,
D175&gt;=_xlfn.PERCENTILE.INC($D$2:$D$246,0.2),2,
TRUE,1
)</f>
        <v>3</v>
      </c>
      <c r="H175">
        <f t="shared" si="2"/>
        <v>9</v>
      </c>
      <c r="I175" t="str" cm="1">
        <f t="array" ref="I175">_xlfn.IFS(H175&gt;=13,"Best Customers",H175&gt;=10,"Loyal Customers",H175&gt;=7,"Potential Loyal Customers",H175&gt;=4,"Need Attention",TRUE,"At Risk")</f>
        <v>Potential Loyal Customers</v>
      </c>
    </row>
    <row r="176" spans="1:9" x14ac:dyDescent="0.25">
      <c r="A176" t="s">
        <v>362</v>
      </c>
      <c r="B176" s="5">
        <v>45</v>
      </c>
      <c r="C176" s="5">
        <v>3</v>
      </c>
      <c r="D176" s="2">
        <v>15634.03</v>
      </c>
      <c r="E176" cm="1">
        <f t="array" ref="E176">_xlfn.IFS(
B176&lt;=_xlfn.PERCENTILE.INC($B$2:$B$246,0.2),5,
B176&lt;=_xlfn.PERCENTILE.INC($B$2:$B$246,0.4),4,
B176&lt;=_xlfn.PERCENTILE.INC($B$2:$B$246,0.6),3,
B176&lt;=_xlfn.PERCENTILE.INC($B$2:$B$246,0.8),2,
TRUE,1
)</f>
        <v>4</v>
      </c>
      <c r="F176" cm="1">
        <f t="array" ref="F176">_xlfn.IFS(
C176&gt;=_xlfn.PERCENTILE.INC($C$2:$C$246,0.8),5,
C176&gt;=_xlfn.PERCENTILE.INC($C$2:$C$246,0.6),4,
C176&gt;=_xlfn.PERCENTILE.INC($C$2:$C$246,0.4),3,
C176&gt;=_xlfn.PERCENTILE.INC($C$2:$C$246,0.2),2,
TRUE,1
)</f>
        <v>3</v>
      </c>
      <c r="G176" cm="1">
        <f t="array" ref="G176">_xlfn.IFS(
D176&gt;=_xlfn.PERCENTILE.INC($D$2:$D$246,0.8),5,
D176&gt;=_xlfn.PERCENTILE.INC($D$2:$D$246,0.6),4,
D176&gt;=_xlfn.PERCENTILE.INC($D$2:$D$246,0.4),3,
D176&gt;=_xlfn.PERCENTILE.INC($D$2:$D$246,0.2),2,
TRUE,1
)</f>
        <v>2</v>
      </c>
      <c r="H176">
        <f t="shared" si="2"/>
        <v>9</v>
      </c>
      <c r="I176" t="str" cm="1">
        <f t="array" ref="I176">_xlfn.IFS(H176&gt;=13,"Best Customers",H176&gt;=10,"Loyal Customers",H176&gt;=7,"Potential Loyal Customers",H176&gt;=4,"Need Attention",TRUE,"At Risk")</f>
        <v>Potential Loyal Customers</v>
      </c>
    </row>
    <row r="177" spans="1:9" x14ac:dyDescent="0.25">
      <c r="A177" t="s">
        <v>65</v>
      </c>
      <c r="B177" s="5">
        <v>78</v>
      </c>
      <c r="C177" s="5">
        <v>2</v>
      </c>
      <c r="D177" s="2">
        <v>971.56999999999994</v>
      </c>
      <c r="E177" cm="1">
        <f t="array" ref="E177">_xlfn.IFS(
B177&lt;=_xlfn.PERCENTILE.INC($B$2:$B$246,0.2),5,
B177&lt;=_xlfn.PERCENTILE.INC($B$2:$B$246,0.4),4,
B177&lt;=_xlfn.PERCENTILE.INC($B$2:$B$246,0.6),3,
B177&lt;=_xlfn.PERCENTILE.INC($B$2:$B$246,0.8),2,
TRUE,1
)</f>
        <v>4</v>
      </c>
      <c r="F177" cm="1">
        <f t="array" ref="F177">_xlfn.IFS(
C177&gt;=_xlfn.PERCENTILE.INC($C$2:$C$246,0.8),5,
C177&gt;=_xlfn.PERCENTILE.INC($C$2:$C$246,0.6),4,
C177&gt;=_xlfn.PERCENTILE.INC($C$2:$C$246,0.4),3,
C177&gt;=_xlfn.PERCENTILE.INC($C$2:$C$246,0.2),2,
TRUE,1
)</f>
        <v>2</v>
      </c>
      <c r="G177" cm="1">
        <f t="array" ref="G177">_xlfn.IFS(
D177&gt;=_xlfn.PERCENTILE.INC($D$2:$D$246,0.8),5,
D177&gt;=_xlfn.PERCENTILE.INC($D$2:$D$246,0.6),4,
D177&gt;=_xlfn.PERCENTILE.INC($D$2:$D$246,0.4),3,
D177&gt;=_xlfn.PERCENTILE.INC($D$2:$D$246,0.2),2,
TRUE,1
)</f>
        <v>1</v>
      </c>
      <c r="H177">
        <f t="shared" si="2"/>
        <v>7</v>
      </c>
      <c r="I177" t="str" cm="1">
        <f t="array" ref="I177">_xlfn.IFS(H177&gt;=13,"Best Customers",H177&gt;=10,"Loyal Customers",H177&gt;=7,"Potential Loyal Customers",H177&gt;=4,"Need Attention",TRUE,"At Risk")</f>
        <v>Potential Loyal Customers</v>
      </c>
    </row>
    <row r="178" spans="1:9" x14ac:dyDescent="0.25">
      <c r="A178" t="s">
        <v>319</v>
      </c>
      <c r="B178" s="5">
        <v>315</v>
      </c>
      <c r="C178" s="5">
        <v>4</v>
      </c>
      <c r="D178" s="2">
        <v>26500.65</v>
      </c>
      <c r="E178" cm="1">
        <f t="array" ref="E178">_xlfn.IFS(
B178&lt;=_xlfn.PERCENTILE.INC($B$2:$B$246,0.2),5,
B178&lt;=_xlfn.PERCENTILE.INC($B$2:$B$246,0.4),4,
B178&lt;=_xlfn.PERCENTILE.INC($B$2:$B$246,0.6),3,
B178&lt;=_xlfn.PERCENTILE.INC($B$2:$B$246,0.8),2,
TRUE,1
)</f>
        <v>1</v>
      </c>
      <c r="F178" cm="1">
        <f t="array" ref="F178">_xlfn.IFS(
C178&gt;=_xlfn.PERCENTILE.INC($C$2:$C$246,0.8),5,
C178&gt;=_xlfn.PERCENTILE.INC($C$2:$C$246,0.6),4,
C178&gt;=_xlfn.PERCENTILE.INC($C$2:$C$246,0.4),3,
C178&gt;=_xlfn.PERCENTILE.INC($C$2:$C$246,0.2),2,
TRUE,1
)</f>
        <v>3</v>
      </c>
      <c r="G178" cm="1">
        <f t="array" ref="G178">_xlfn.IFS(
D178&gt;=_xlfn.PERCENTILE.INC($D$2:$D$246,0.8),5,
D178&gt;=_xlfn.PERCENTILE.INC($D$2:$D$246,0.6),4,
D178&gt;=_xlfn.PERCENTILE.INC($D$2:$D$246,0.4),3,
D178&gt;=_xlfn.PERCENTILE.INC($D$2:$D$246,0.2),2,
TRUE,1
)</f>
        <v>4</v>
      </c>
      <c r="H178">
        <f t="shared" si="2"/>
        <v>8</v>
      </c>
      <c r="I178" t="str" cm="1">
        <f t="array" ref="I178">_xlfn.IFS(H178&gt;=13,"Best Customers",H178&gt;=10,"Loyal Customers",H178&gt;=7,"Potential Loyal Customers",H178&gt;=4,"Need Attention",TRUE,"At Risk")</f>
        <v>Potential Loyal Customers</v>
      </c>
    </row>
    <row r="179" spans="1:9" x14ac:dyDescent="0.25">
      <c r="A179" t="s">
        <v>207</v>
      </c>
      <c r="B179" s="5">
        <v>336</v>
      </c>
      <c r="C179" s="5">
        <v>5</v>
      </c>
      <c r="D179" s="2">
        <v>28241.430000000004</v>
      </c>
      <c r="E179" cm="1">
        <f t="array" ref="E179">_xlfn.IFS(
B179&lt;=_xlfn.PERCENTILE.INC($B$2:$B$246,0.2),5,
B179&lt;=_xlfn.PERCENTILE.INC($B$2:$B$246,0.4),4,
B179&lt;=_xlfn.PERCENTILE.INC($B$2:$B$246,0.6),3,
B179&lt;=_xlfn.PERCENTILE.INC($B$2:$B$246,0.8),2,
TRUE,1
)</f>
        <v>1</v>
      </c>
      <c r="F179" cm="1">
        <f t="array" ref="F179">_xlfn.IFS(
C179&gt;=_xlfn.PERCENTILE.INC($C$2:$C$246,0.8),5,
C179&gt;=_xlfn.PERCENTILE.INC($C$2:$C$246,0.6),4,
C179&gt;=_xlfn.PERCENTILE.INC($C$2:$C$246,0.4),3,
C179&gt;=_xlfn.PERCENTILE.INC($C$2:$C$246,0.2),2,
TRUE,1
)</f>
        <v>4</v>
      </c>
      <c r="G179" cm="1">
        <f t="array" ref="G179">_xlfn.IFS(
D179&gt;=_xlfn.PERCENTILE.INC($D$2:$D$246,0.8),5,
D179&gt;=_xlfn.PERCENTILE.INC($D$2:$D$246,0.6),4,
D179&gt;=_xlfn.PERCENTILE.INC($D$2:$D$246,0.4),3,
D179&gt;=_xlfn.PERCENTILE.INC($D$2:$D$246,0.2),2,
TRUE,1
)</f>
        <v>4</v>
      </c>
      <c r="H179">
        <f t="shared" si="2"/>
        <v>9</v>
      </c>
      <c r="I179" t="str" cm="1">
        <f t="array" ref="I179">_xlfn.IFS(H179&gt;=13,"Best Customers",H179&gt;=10,"Loyal Customers",H179&gt;=7,"Potential Loyal Customers",H179&gt;=4,"Need Attention",TRUE,"At Risk")</f>
        <v>Potential Loyal Customers</v>
      </c>
    </row>
    <row r="180" spans="1:9" x14ac:dyDescent="0.25">
      <c r="A180" t="s">
        <v>231</v>
      </c>
      <c r="B180" s="5">
        <v>564</v>
      </c>
      <c r="C180" s="5">
        <v>3</v>
      </c>
      <c r="D180" s="2">
        <v>14941.939999999999</v>
      </c>
      <c r="E180" cm="1">
        <f t="array" ref="E180">_xlfn.IFS(
B180&lt;=_xlfn.PERCENTILE.INC($B$2:$B$246,0.2),5,
B180&lt;=_xlfn.PERCENTILE.INC($B$2:$B$246,0.4),4,
B180&lt;=_xlfn.PERCENTILE.INC($B$2:$B$246,0.6),3,
B180&lt;=_xlfn.PERCENTILE.INC($B$2:$B$246,0.8),2,
TRUE,1
)</f>
        <v>1</v>
      </c>
      <c r="F180" cm="1">
        <f t="array" ref="F180">_xlfn.IFS(
C180&gt;=_xlfn.PERCENTILE.INC($C$2:$C$246,0.8),5,
C180&gt;=_xlfn.PERCENTILE.INC($C$2:$C$246,0.6),4,
C180&gt;=_xlfn.PERCENTILE.INC($C$2:$C$246,0.4),3,
C180&gt;=_xlfn.PERCENTILE.INC($C$2:$C$246,0.2),2,
TRUE,1
)</f>
        <v>3</v>
      </c>
      <c r="G180" cm="1">
        <f t="array" ref="G180">_xlfn.IFS(
D180&gt;=_xlfn.PERCENTILE.INC($D$2:$D$246,0.8),5,
D180&gt;=_xlfn.PERCENTILE.INC($D$2:$D$246,0.6),4,
D180&gt;=_xlfn.PERCENTILE.INC($D$2:$D$246,0.4),3,
D180&gt;=_xlfn.PERCENTILE.INC($D$2:$D$246,0.2),2,
TRUE,1
)</f>
        <v>2</v>
      </c>
      <c r="H180">
        <f t="shared" si="2"/>
        <v>6</v>
      </c>
      <c r="I180" t="str" cm="1">
        <f t="array" ref="I180">_xlfn.IFS(H180&gt;=13,"Best Customers",H180&gt;=10,"Loyal Customers",H180&gt;=7,"Potential Loyal Customers",H180&gt;=4,"Need Attention",TRUE,"At Risk")</f>
        <v>Need Attention</v>
      </c>
    </row>
    <row r="181" spans="1:9" x14ac:dyDescent="0.25">
      <c r="A181" t="s">
        <v>178</v>
      </c>
      <c r="B181" s="5">
        <v>60</v>
      </c>
      <c r="C181" s="5">
        <v>4</v>
      </c>
      <c r="D181" s="2">
        <v>20517.47</v>
      </c>
      <c r="E181" cm="1">
        <f t="array" ref="E181">_xlfn.IFS(
B181&lt;=_xlfn.PERCENTILE.INC($B$2:$B$246,0.2),5,
B181&lt;=_xlfn.PERCENTILE.INC($B$2:$B$246,0.4),4,
B181&lt;=_xlfn.PERCENTILE.INC($B$2:$B$246,0.6),3,
B181&lt;=_xlfn.PERCENTILE.INC($B$2:$B$246,0.8),2,
TRUE,1
)</f>
        <v>4</v>
      </c>
      <c r="F181" cm="1">
        <f t="array" ref="F181">_xlfn.IFS(
C181&gt;=_xlfn.PERCENTILE.INC($C$2:$C$246,0.8),5,
C181&gt;=_xlfn.PERCENTILE.INC($C$2:$C$246,0.6),4,
C181&gt;=_xlfn.PERCENTILE.INC($C$2:$C$246,0.4),3,
C181&gt;=_xlfn.PERCENTILE.INC($C$2:$C$246,0.2),2,
TRUE,1
)</f>
        <v>3</v>
      </c>
      <c r="G181" cm="1">
        <f t="array" ref="G181">_xlfn.IFS(
D181&gt;=_xlfn.PERCENTILE.INC($D$2:$D$246,0.8),5,
D181&gt;=_xlfn.PERCENTILE.INC($D$2:$D$246,0.6),4,
D181&gt;=_xlfn.PERCENTILE.INC($D$2:$D$246,0.4),3,
D181&gt;=_xlfn.PERCENTILE.INC($D$2:$D$246,0.2),2,
TRUE,1
)</f>
        <v>3</v>
      </c>
      <c r="H181">
        <f t="shared" si="2"/>
        <v>10</v>
      </c>
      <c r="I18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 x14ac:dyDescent="0.25">
      <c r="A182" t="s">
        <v>680</v>
      </c>
      <c r="B182" s="5">
        <v>485</v>
      </c>
      <c r="C182" s="5">
        <v>2</v>
      </c>
      <c r="D182" s="2">
        <v>17060.3</v>
      </c>
      <c r="E182" cm="1">
        <f t="array" ref="E182">_xlfn.IFS(
B182&lt;=_xlfn.PERCENTILE.INC($B$2:$B$246,0.2),5,
B182&lt;=_xlfn.PERCENTILE.INC($B$2:$B$246,0.4),4,
B182&lt;=_xlfn.PERCENTILE.INC($B$2:$B$246,0.6),3,
B182&lt;=_xlfn.PERCENTILE.INC($B$2:$B$246,0.8),2,
TRUE,1
)</f>
        <v>1</v>
      </c>
      <c r="F182" cm="1">
        <f t="array" ref="F182">_xlfn.IFS(
C182&gt;=_xlfn.PERCENTILE.INC($C$2:$C$246,0.8),5,
C182&gt;=_xlfn.PERCENTILE.INC($C$2:$C$246,0.6),4,
C182&gt;=_xlfn.PERCENTILE.INC($C$2:$C$246,0.4),3,
C182&gt;=_xlfn.PERCENTILE.INC($C$2:$C$246,0.2),2,
TRUE,1
)</f>
        <v>2</v>
      </c>
      <c r="G182" cm="1">
        <f t="array" ref="G182">_xlfn.IFS(
D182&gt;=_xlfn.PERCENTILE.INC($D$2:$D$246,0.8),5,
D182&gt;=_xlfn.PERCENTILE.INC($D$2:$D$246,0.6),4,
D182&gt;=_xlfn.PERCENTILE.INC($D$2:$D$246,0.4),3,
D182&gt;=_xlfn.PERCENTILE.INC($D$2:$D$246,0.2),2,
TRUE,1
)</f>
        <v>3</v>
      </c>
      <c r="H182">
        <f t="shared" si="2"/>
        <v>6</v>
      </c>
      <c r="I182" t="str" cm="1">
        <f t="array" ref="I182">_xlfn.IFS(H182&gt;=13,"Best Customers",H182&gt;=10,"Loyal Customers",H182&gt;=7,"Potential Loyal Customers",H182&gt;=4,"Need Attention",TRUE,"At Risk")</f>
        <v>Need Attention</v>
      </c>
    </row>
    <row r="183" spans="1:9" x14ac:dyDescent="0.25">
      <c r="A183" t="s">
        <v>802</v>
      </c>
      <c r="B183" s="5">
        <v>132</v>
      </c>
      <c r="C183" s="5">
        <v>4</v>
      </c>
      <c r="D183" s="2">
        <v>29085.84</v>
      </c>
      <c r="E183" cm="1">
        <f t="array" ref="E183">_xlfn.IFS(
B183&lt;=_xlfn.PERCENTILE.INC($B$2:$B$246,0.2),5,
B183&lt;=_xlfn.PERCENTILE.INC($B$2:$B$246,0.4),4,
B183&lt;=_xlfn.PERCENTILE.INC($B$2:$B$246,0.6),3,
B183&lt;=_xlfn.PERCENTILE.INC($B$2:$B$246,0.8),2,
TRUE,1
)</f>
        <v>3</v>
      </c>
      <c r="F183" cm="1">
        <f t="array" ref="F183">_xlfn.IFS(
C183&gt;=_xlfn.PERCENTILE.INC($C$2:$C$246,0.8),5,
C183&gt;=_xlfn.PERCENTILE.INC($C$2:$C$246,0.6),4,
C183&gt;=_xlfn.PERCENTILE.INC($C$2:$C$246,0.4),3,
C183&gt;=_xlfn.PERCENTILE.INC($C$2:$C$246,0.2),2,
TRUE,1
)</f>
        <v>3</v>
      </c>
      <c r="G183" cm="1">
        <f t="array" ref="G183">_xlfn.IFS(
D183&gt;=_xlfn.PERCENTILE.INC($D$2:$D$246,0.8),5,
D183&gt;=_xlfn.PERCENTILE.INC($D$2:$D$246,0.6),4,
D183&gt;=_xlfn.PERCENTILE.INC($D$2:$D$246,0.4),3,
D183&gt;=_xlfn.PERCENTILE.INC($D$2:$D$246,0.2),2,
TRUE,1
)</f>
        <v>5</v>
      </c>
      <c r="H183">
        <f t="shared" si="2"/>
        <v>11</v>
      </c>
      <c r="I183" t="str" cm="1">
        <f t="array" ref="I183">_xlfn.IFS(H183&gt;=13,"Best Customers",H183&gt;=10,"Loyal Customers",H183&gt;=7,"Potential Loyal Customers",H183&gt;=4,"Need Attention",TRUE,"At Risk")</f>
        <v>Loyal Customers</v>
      </c>
    </row>
    <row r="184" spans="1:9" x14ac:dyDescent="0.25">
      <c r="A184" t="s">
        <v>627</v>
      </c>
      <c r="B184" s="5">
        <v>136</v>
      </c>
      <c r="C184" s="5">
        <v>3</v>
      </c>
      <c r="D184" s="2">
        <v>9103.5099999999984</v>
      </c>
      <c r="E184" cm="1">
        <f t="array" ref="E184">_xlfn.IFS(
B184&lt;=_xlfn.PERCENTILE.INC($B$2:$B$246,0.2),5,
B184&lt;=_xlfn.PERCENTILE.INC($B$2:$B$246,0.4),4,
B184&lt;=_xlfn.PERCENTILE.INC($B$2:$B$246,0.6),3,
B184&lt;=_xlfn.PERCENTILE.INC($B$2:$B$246,0.8),2,
TRUE,1
)</f>
        <v>3</v>
      </c>
      <c r="F184" cm="1">
        <f t="array" ref="F184">_xlfn.IFS(
C184&gt;=_xlfn.PERCENTILE.INC($C$2:$C$246,0.8),5,
C184&gt;=_xlfn.PERCENTILE.INC($C$2:$C$246,0.6),4,
C184&gt;=_xlfn.PERCENTILE.INC($C$2:$C$246,0.4),3,
C184&gt;=_xlfn.PERCENTILE.INC($C$2:$C$246,0.2),2,
TRUE,1
)</f>
        <v>3</v>
      </c>
      <c r="G184" cm="1">
        <f t="array" ref="G184">_xlfn.IFS(
D184&gt;=_xlfn.PERCENTILE.INC($D$2:$D$246,0.8),5,
D184&gt;=_xlfn.PERCENTILE.INC($D$2:$D$246,0.6),4,
D184&gt;=_xlfn.PERCENTILE.INC($D$2:$D$246,0.4),3,
D184&gt;=_xlfn.PERCENTILE.INC($D$2:$D$246,0.2),2,
TRUE,1
)</f>
        <v>1</v>
      </c>
      <c r="H184">
        <f t="shared" si="2"/>
        <v>7</v>
      </c>
      <c r="I184" t="str" cm="1">
        <f t="array" ref="I184">_xlfn.IFS(H184&gt;=13,"Best Customers",H184&gt;=10,"Loyal Customers",H184&gt;=7,"Potential Loyal Customers",H184&gt;=4,"Need Attention",TRUE,"At Risk")</f>
        <v>Potential Loyal Customers</v>
      </c>
    </row>
    <row r="185" spans="1:9" x14ac:dyDescent="0.25">
      <c r="A185" t="s">
        <v>596</v>
      </c>
      <c r="B185" s="5">
        <v>24</v>
      </c>
      <c r="C185" s="5">
        <v>2</v>
      </c>
      <c r="D185" s="2">
        <v>10391.31</v>
      </c>
      <c r="E185" cm="1">
        <f t="array" ref="E185">_xlfn.IFS(
B185&lt;=_xlfn.PERCENTILE.INC($B$2:$B$246,0.2),5,
B185&lt;=_xlfn.PERCENTILE.INC($B$2:$B$246,0.4),4,
B185&lt;=_xlfn.PERCENTILE.INC($B$2:$B$246,0.6),3,
B185&lt;=_xlfn.PERCENTILE.INC($B$2:$B$246,0.8),2,
TRUE,1
)</f>
        <v>5</v>
      </c>
      <c r="F185" cm="1">
        <f t="array" ref="F185">_xlfn.IFS(
C185&gt;=_xlfn.PERCENTILE.INC($C$2:$C$246,0.8),5,
C185&gt;=_xlfn.PERCENTILE.INC($C$2:$C$246,0.6),4,
C185&gt;=_xlfn.PERCENTILE.INC($C$2:$C$246,0.4),3,
C185&gt;=_xlfn.PERCENTILE.INC($C$2:$C$246,0.2),2,
TRUE,1
)</f>
        <v>2</v>
      </c>
      <c r="G185" cm="1">
        <f t="array" ref="G185">_xlfn.IFS(
D185&gt;=_xlfn.PERCENTILE.INC($D$2:$D$246,0.8),5,
D185&gt;=_xlfn.PERCENTILE.INC($D$2:$D$246,0.6),4,
D185&gt;=_xlfn.PERCENTILE.INC($D$2:$D$246,0.4),3,
D185&gt;=_xlfn.PERCENTILE.INC($D$2:$D$246,0.2),2,
TRUE,1
)</f>
        <v>2</v>
      </c>
      <c r="H185">
        <f t="shared" si="2"/>
        <v>9</v>
      </c>
      <c r="I185" t="str" cm="1">
        <f t="array" ref="I185">_xlfn.IFS(H185&gt;=13,"Best Customers",H185&gt;=10,"Loyal Customers",H185&gt;=7,"Potential Loyal Customers",H185&gt;=4,"Need Attention",TRUE,"At Risk")</f>
        <v>Potential Loyal Customers</v>
      </c>
    </row>
    <row r="186" spans="1:9" x14ac:dyDescent="0.25">
      <c r="A186" t="s">
        <v>162</v>
      </c>
      <c r="B186" s="5">
        <v>121</v>
      </c>
      <c r="C186" s="5">
        <v>2</v>
      </c>
      <c r="D186" s="2">
        <v>9569.380000000001</v>
      </c>
      <c r="E186" cm="1">
        <f t="array" ref="E186">_xlfn.IFS(
B186&lt;=_xlfn.PERCENTILE.INC($B$2:$B$246,0.2),5,
B186&lt;=_xlfn.PERCENTILE.INC($B$2:$B$246,0.4),4,
B186&lt;=_xlfn.PERCENTILE.INC($B$2:$B$246,0.6),3,
B186&lt;=_xlfn.PERCENTILE.INC($B$2:$B$246,0.8),2,
TRUE,1
)</f>
        <v>3</v>
      </c>
      <c r="F186" cm="1">
        <f t="array" ref="F186">_xlfn.IFS(
C186&gt;=_xlfn.PERCENTILE.INC($C$2:$C$246,0.8),5,
C186&gt;=_xlfn.PERCENTILE.INC($C$2:$C$246,0.6),4,
C186&gt;=_xlfn.PERCENTILE.INC($C$2:$C$246,0.4),3,
C186&gt;=_xlfn.PERCENTILE.INC($C$2:$C$246,0.2),2,
TRUE,1
)</f>
        <v>2</v>
      </c>
      <c r="G186" cm="1">
        <f t="array" ref="G186">_xlfn.IFS(
D186&gt;=_xlfn.PERCENTILE.INC($D$2:$D$246,0.8),5,
D186&gt;=_xlfn.PERCENTILE.INC($D$2:$D$246,0.6),4,
D186&gt;=_xlfn.PERCENTILE.INC($D$2:$D$246,0.4),3,
D186&gt;=_xlfn.PERCENTILE.INC($D$2:$D$246,0.2),2,
TRUE,1
)</f>
        <v>1</v>
      </c>
      <c r="H186">
        <f t="shared" si="2"/>
        <v>6</v>
      </c>
      <c r="I186" t="str" cm="1">
        <f t="array" ref="I186">_xlfn.IFS(H186&gt;=13,"Best Customers",H186&gt;=10,"Loyal Customers",H186&gt;=7,"Potential Loyal Customers",H186&gt;=4,"Need Attention",TRUE,"At Risk")</f>
        <v>Need Attention</v>
      </c>
    </row>
    <row r="187" spans="1:9" x14ac:dyDescent="0.25">
      <c r="A187" t="s">
        <v>464</v>
      </c>
      <c r="B187" s="5">
        <v>35</v>
      </c>
      <c r="C187" s="5">
        <v>5</v>
      </c>
      <c r="D187" s="2">
        <v>18732.86</v>
      </c>
      <c r="E187" cm="1">
        <f t="array" ref="E187">_xlfn.IFS(
B187&lt;=_xlfn.PERCENTILE.INC($B$2:$B$246,0.2),5,
B187&lt;=_xlfn.PERCENTILE.INC($B$2:$B$246,0.4),4,
B187&lt;=_xlfn.PERCENTILE.INC($B$2:$B$246,0.6),3,
B187&lt;=_xlfn.PERCENTILE.INC($B$2:$B$246,0.8),2,
TRUE,1
)</f>
        <v>5</v>
      </c>
      <c r="F187" cm="1">
        <f t="array" ref="F187">_xlfn.IFS(
C187&gt;=_xlfn.PERCENTILE.INC($C$2:$C$246,0.8),5,
C187&gt;=_xlfn.PERCENTILE.INC($C$2:$C$246,0.6),4,
C187&gt;=_xlfn.PERCENTILE.INC($C$2:$C$246,0.4),3,
C187&gt;=_xlfn.PERCENTILE.INC($C$2:$C$246,0.2),2,
TRUE,1
)</f>
        <v>4</v>
      </c>
      <c r="G187" cm="1">
        <f t="array" ref="G187">_xlfn.IFS(
D187&gt;=_xlfn.PERCENTILE.INC($D$2:$D$246,0.8),5,
D187&gt;=_xlfn.PERCENTILE.INC($D$2:$D$246,0.6),4,
D187&gt;=_xlfn.PERCENTILE.INC($D$2:$D$246,0.4),3,
D187&gt;=_xlfn.PERCENTILE.INC($D$2:$D$246,0.2),2,
TRUE,1
)</f>
        <v>3</v>
      </c>
      <c r="H187">
        <f t="shared" si="2"/>
        <v>12</v>
      </c>
      <c r="I187" t="str" cm="1">
        <f t="array" ref="I187">_xlfn.IFS(H187&gt;=13,"Best Customers",H187&gt;=10,"Loyal Customers",H187&gt;=7,"Potential Loyal Customers",H187&gt;=4,"Need Attention",TRUE,"At Risk")</f>
        <v>Loyal Customers</v>
      </c>
    </row>
    <row r="188" spans="1:9" x14ac:dyDescent="0.25">
      <c r="A188" t="s">
        <v>707</v>
      </c>
      <c r="B188" s="5">
        <v>237</v>
      </c>
      <c r="C188" s="5">
        <v>2</v>
      </c>
      <c r="D188" s="2">
        <v>8984.99</v>
      </c>
      <c r="E188" cm="1">
        <f t="array" ref="E188">_xlfn.IFS(
B188&lt;=_xlfn.PERCENTILE.INC($B$2:$B$246,0.2),5,
B188&lt;=_xlfn.PERCENTILE.INC($B$2:$B$246,0.4),4,
B188&lt;=_xlfn.PERCENTILE.INC($B$2:$B$246,0.6),3,
B188&lt;=_xlfn.PERCENTILE.INC($B$2:$B$246,0.8),2,
TRUE,1
)</f>
        <v>2</v>
      </c>
      <c r="F188" cm="1">
        <f t="array" ref="F188">_xlfn.IFS(
C188&gt;=_xlfn.PERCENTILE.INC($C$2:$C$246,0.8),5,
C188&gt;=_xlfn.PERCENTILE.INC($C$2:$C$246,0.6),4,
C188&gt;=_xlfn.PERCENTILE.INC($C$2:$C$246,0.4),3,
C188&gt;=_xlfn.PERCENTILE.INC($C$2:$C$246,0.2),2,
TRUE,1
)</f>
        <v>2</v>
      </c>
      <c r="G188" cm="1">
        <f t="array" ref="G188">_xlfn.IFS(
D188&gt;=_xlfn.PERCENTILE.INC($D$2:$D$246,0.8),5,
D188&gt;=_xlfn.PERCENTILE.INC($D$2:$D$246,0.6),4,
D188&gt;=_xlfn.PERCENTILE.INC($D$2:$D$246,0.4),3,
D188&gt;=_xlfn.PERCENTILE.INC($D$2:$D$246,0.2),2,
TRUE,1
)</f>
        <v>1</v>
      </c>
      <c r="H188">
        <f t="shared" si="2"/>
        <v>5</v>
      </c>
      <c r="I188" t="str" cm="1">
        <f t="array" ref="I188">_xlfn.IFS(H188&gt;=13,"Best Customers",H188&gt;=10,"Loyal Customers",H188&gt;=7,"Potential Loyal Customers",H188&gt;=4,"Need Attention",TRUE,"At Risk")</f>
        <v>Need Attention</v>
      </c>
    </row>
    <row r="189" spans="1:9" x14ac:dyDescent="0.25">
      <c r="A189" t="s">
        <v>150</v>
      </c>
      <c r="B189" s="5">
        <v>442</v>
      </c>
      <c r="C189" s="5">
        <v>4</v>
      </c>
      <c r="D189" s="2">
        <v>18204.849999999999</v>
      </c>
      <c r="E189" cm="1">
        <f t="array" ref="E189">_xlfn.IFS(
B189&lt;=_xlfn.PERCENTILE.INC($B$2:$B$246,0.2),5,
B189&lt;=_xlfn.PERCENTILE.INC($B$2:$B$246,0.4),4,
B189&lt;=_xlfn.PERCENTILE.INC($B$2:$B$246,0.6),3,
B189&lt;=_xlfn.PERCENTILE.INC($B$2:$B$246,0.8),2,
TRUE,1
)</f>
        <v>1</v>
      </c>
      <c r="F189" cm="1">
        <f t="array" ref="F189">_xlfn.IFS(
C189&gt;=_xlfn.PERCENTILE.INC($C$2:$C$246,0.8),5,
C189&gt;=_xlfn.PERCENTILE.INC($C$2:$C$246,0.6),4,
C189&gt;=_xlfn.PERCENTILE.INC($C$2:$C$246,0.4),3,
C189&gt;=_xlfn.PERCENTILE.INC($C$2:$C$246,0.2),2,
TRUE,1
)</f>
        <v>3</v>
      </c>
      <c r="G189" cm="1">
        <f t="array" ref="G189">_xlfn.IFS(
D189&gt;=_xlfn.PERCENTILE.INC($D$2:$D$246,0.8),5,
D189&gt;=_xlfn.PERCENTILE.INC($D$2:$D$246,0.6),4,
D189&gt;=_xlfn.PERCENTILE.INC($D$2:$D$246,0.4),3,
D189&gt;=_xlfn.PERCENTILE.INC($D$2:$D$246,0.2),2,
TRUE,1
)</f>
        <v>3</v>
      </c>
      <c r="H189">
        <f t="shared" si="2"/>
        <v>7</v>
      </c>
      <c r="I189" t="str" cm="1">
        <f t="array" ref="I189">_xlfn.IFS(H189&gt;=13,"Best Customers",H189&gt;=10,"Loyal Customers",H189&gt;=7,"Potential Loyal Customers",H189&gt;=4,"Need Attention",TRUE,"At Risk")</f>
        <v>Potential Loyal Customers</v>
      </c>
    </row>
    <row r="190" spans="1:9" x14ac:dyDescent="0.25">
      <c r="A190" t="s">
        <v>251</v>
      </c>
      <c r="B190" s="5">
        <v>231</v>
      </c>
      <c r="C190" s="5">
        <v>4</v>
      </c>
      <c r="D190" s="2">
        <v>24647.919999999998</v>
      </c>
      <c r="E190" cm="1">
        <f t="array" ref="E190">_xlfn.IFS(
B190&lt;=_xlfn.PERCENTILE.INC($B$2:$B$246,0.2),5,
B190&lt;=_xlfn.PERCENTILE.INC($B$2:$B$246,0.4),4,
B190&lt;=_xlfn.PERCENTILE.INC($B$2:$B$246,0.6),3,
B190&lt;=_xlfn.PERCENTILE.INC($B$2:$B$246,0.8),2,
TRUE,1
)</f>
        <v>2</v>
      </c>
      <c r="F190" cm="1">
        <f t="array" ref="F190">_xlfn.IFS(
C190&gt;=_xlfn.PERCENTILE.INC($C$2:$C$246,0.8),5,
C190&gt;=_xlfn.PERCENTILE.INC($C$2:$C$246,0.6),4,
C190&gt;=_xlfn.PERCENTILE.INC($C$2:$C$246,0.4),3,
C190&gt;=_xlfn.PERCENTILE.INC($C$2:$C$246,0.2),2,
TRUE,1
)</f>
        <v>3</v>
      </c>
      <c r="G190" cm="1">
        <f t="array" ref="G190">_xlfn.IFS(
D190&gt;=_xlfn.PERCENTILE.INC($D$2:$D$246,0.8),5,
D190&gt;=_xlfn.PERCENTILE.INC($D$2:$D$246,0.6),4,
D190&gt;=_xlfn.PERCENTILE.INC($D$2:$D$246,0.4),3,
D190&gt;=_xlfn.PERCENTILE.INC($D$2:$D$246,0.2),2,
TRUE,1
)</f>
        <v>4</v>
      </c>
      <c r="H190">
        <f t="shared" si="2"/>
        <v>9</v>
      </c>
      <c r="I190" t="str" cm="1">
        <f t="array" ref="I190">_xlfn.IFS(H190&gt;=13,"Best Customers",H190&gt;=10,"Loyal Customers",H190&gt;=7,"Potential Loyal Customers",H190&gt;=4,"Need Attention",TRUE,"At Risk")</f>
        <v>Potential Loyal Customers</v>
      </c>
    </row>
    <row r="191" spans="1:9" x14ac:dyDescent="0.25">
      <c r="A191" t="s">
        <v>486</v>
      </c>
      <c r="B191" s="5">
        <v>276</v>
      </c>
      <c r="C191" s="5">
        <v>7</v>
      </c>
      <c r="D191" s="2">
        <v>31583.739999999998</v>
      </c>
      <c r="E191" cm="1">
        <f t="array" ref="E191">_xlfn.IFS(
B191&lt;=_xlfn.PERCENTILE.INC($B$2:$B$246,0.2),5,
B191&lt;=_xlfn.PERCENTILE.INC($B$2:$B$246,0.4),4,
B191&lt;=_xlfn.PERCENTILE.INC($B$2:$B$246,0.6),3,
B191&lt;=_xlfn.PERCENTILE.INC($B$2:$B$246,0.8),2,
TRUE,1
)</f>
        <v>2</v>
      </c>
      <c r="F191" cm="1">
        <f t="array" ref="F191">_xlfn.IFS(
C191&gt;=_xlfn.PERCENTILE.INC($C$2:$C$246,0.8),5,
C191&gt;=_xlfn.PERCENTILE.INC($C$2:$C$246,0.6),4,
C191&gt;=_xlfn.PERCENTILE.INC($C$2:$C$246,0.4),3,
C191&gt;=_xlfn.PERCENTILE.INC($C$2:$C$246,0.2),2,
TRUE,1
)</f>
        <v>5</v>
      </c>
      <c r="G191" cm="1">
        <f t="array" ref="G191">_xlfn.IFS(
D191&gt;=_xlfn.PERCENTILE.INC($D$2:$D$246,0.8),5,
D191&gt;=_xlfn.PERCENTILE.INC($D$2:$D$246,0.6),4,
D191&gt;=_xlfn.PERCENTILE.INC($D$2:$D$246,0.4),3,
D191&gt;=_xlfn.PERCENTILE.INC($D$2:$D$246,0.2),2,
TRUE,1
)</f>
        <v>5</v>
      </c>
      <c r="H191">
        <f t="shared" si="2"/>
        <v>12</v>
      </c>
      <c r="I191" t="str" cm="1">
        <f t="array" ref="I191">_xlfn.IFS(H191&gt;=13,"Best Customers",H191&gt;=10,"Loyal Customers",H191&gt;=7,"Potential Loyal Customers",H191&gt;=4,"Need Attention",TRUE,"At Risk")</f>
        <v>Loyal Customers</v>
      </c>
    </row>
    <row r="192" spans="1:9" x14ac:dyDescent="0.25">
      <c r="A192" t="s">
        <v>268</v>
      </c>
      <c r="B192" s="5">
        <v>214</v>
      </c>
      <c r="C192" s="5">
        <v>5</v>
      </c>
      <c r="D192" s="2">
        <v>16682.669999999998</v>
      </c>
      <c r="E192" cm="1">
        <f t="array" ref="E192">_xlfn.IFS(
B192&lt;=_xlfn.PERCENTILE.INC($B$2:$B$246,0.2),5,
B192&lt;=_xlfn.PERCENTILE.INC($B$2:$B$246,0.4),4,
B192&lt;=_xlfn.PERCENTILE.INC($B$2:$B$246,0.6),3,
B192&lt;=_xlfn.PERCENTILE.INC($B$2:$B$246,0.8),2,
TRUE,1
)</f>
        <v>2</v>
      </c>
      <c r="F192" cm="1">
        <f t="array" ref="F192">_xlfn.IFS(
C192&gt;=_xlfn.PERCENTILE.INC($C$2:$C$246,0.8),5,
C192&gt;=_xlfn.PERCENTILE.INC($C$2:$C$246,0.6),4,
C192&gt;=_xlfn.PERCENTILE.INC($C$2:$C$246,0.4),3,
C192&gt;=_xlfn.PERCENTILE.INC($C$2:$C$246,0.2),2,
TRUE,1
)</f>
        <v>4</v>
      </c>
      <c r="G192" cm="1">
        <f t="array" ref="G192">_xlfn.IFS(
D192&gt;=_xlfn.PERCENTILE.INC($D$2:$D$246,0.8),5,
D192&gt;=_xlfn.PERCENTILE.INC($D$2:$D$246,0.6),4,
D192&gt;=_xlfn.PERCENTILE.INC($D$2:$D$246,0.4),3,
D192&gt;=_xlfn.PERCENTILE.INC($D$2:$D$246,0.2),2,
TRUE,1
)</f>
        <v>3</v>
      </c>
      <c r="H192">
        <f t="shared" si="2"/>
        <v>9</v>
      </c>
      <c r="I192" t="str" cm="1">
        <f t="array" ref="I192">_xlfn.IFS(H192&gt;=13,"Best Customers",H192&gt;=10,"Loyal Customers",H192&gt;=7,"Potential Loyal Customers",H192&gt;=4,"Need Attention",TRUE,"At Risk")</f>
        <v>Potential Loyal Customers</v>
      </c>
    </row>
    <row r="193" spans="1:9" x14ac:dyDescent="0.25">
      <c r="A193" t="s">
        <v>360</v>
      </c>
      <c r="B193" s="5">
        <v>219</v>
      </c>
      <c r="C193" s="5">
        <v>2</v>
      </c>
      <c r="D193" s="2">
        <v>9528.1</v>
      </c>
      <c r="E193" cm="1">
        <f t="array" ref="E193">_xlfn.IFS(
B193&lt;=_xlfn.PERCENTILE.INC($B$2:$B$246,0.2),5,
B193&lt;=_xlfn.PERCENTILE.INC($B$2:$B$246,0.4),4,
B193&lt;=_xlfn.PERCENTILE.INC($B$2:$B$246,0.6),3,
B193&lt;=_xlfn.PERCENTILE.INC($B$2:$B$246,0.8),2,
TRUE,1
)</f>
        <v>2</v>
      </c>
      <c r="F193" cm="1">
        <f t="array" ref="F193">_xlfn.IFS(
C193&gt;=_xlfn.PERCENTILE.INC($C$2:$C$246,0.8),5,
C193&gt;=_xlfn.PERCENTILE.INC($C$2:$C$246,0.6),4,
C193&gt;=_xlfn.PERCENTILE.INC($C$2:$C$246,0.4),3,
C193&gt;=_xlfn.PERCENTILE.INC($C$2:$C$246,0.2),2,
TRUE,1
)</f>
        <v>2</v>
      </c>
      <c r="G193" cm="1">
        <f t="array" ref="G193">_xlfn.IFS(
D193&gt;=_xlfn.PERCENTILE.INC($D$2:$D$246,0.8),5,
D193&gt;=_xlfn.PERCENTILE.INC($D$2:$D$246,0.6),4,
D193&gt;=_xlfn.PERCENTILE.INC($D$2:$D$246,0.4),3,
D193&gt;=_xlfn.PERCENTILE.INC($D$2:$D$246,0.2),2,
TRUE,1
)</f>
        <v>1</v>
      </c>
      <c r="H193">
        <f t="shared" si="2"/>
        <v>5</v>
      </c>
      <c r="I193" t="str" cm="1">
        <f t="array" ref="I193">_xlfn.IFS(H193&gt;=13,"Best Customers",H193&gt;=10,"Loyal Customers",H193&gt;=7,"Potential Loyal Customers",H193&gt;=4,"Need Attention",TRUE,"At Risk")</f>
        <v>Need Attention</v>
      </c>
    </row>
    <row r="194" spans="1:9" x14ac:dyDescent="0.25">
      <c r="A194" t="s">
        <v>611</v>
      </c>
      <c r="B194" s="5">
        <v>40</v>
      </c>
      <c r="C194" s="5">
        <v>3</v>
      </c>
      <c r="D194" s="2">
        <v>18686.54</v>
      </c>
      <c r="E194" cm="1">
        <f t="array" ref="E194">_xlfn.IFS(
B194&lt;=_xlfn.PERCENTILE.INC($B$2:$B$246,0.2),5,
B194&lt;=_xlfn.PERCENTILE.INC($B$2:$B$246,0.4),4,
B194&lt;=_xlfn.PERCENTILE.INC($B$2:$B$246,0.6),3,
B194&lt;=_xlfn.PERCENTILE.INC($B$2:$B$246,0.8),2,
TRUE,1
)</f>
        <v>5</v>
      </c>
      <c r="F194" cm="1">
        <f t="array" ref="F194">_xlfn.IFS(
C194&gt;=_xlfn.PERCENTILE.INC($C$2:$C$246,0.8),5,
C194&gt;=_xlfn.PERCENTILE.INC($C$2:$C$246,0.6),4,
C194&gt;=_xlfn.PERCENTILE.INC($C$2:$C$246,0.4),3,
C194&gt;=_xlfn.PERCENTILE.INC($C$2:$C$246,0.2),2,
TRUE,1
)</f>
        <v>3</v>
      </c>
      <c r="G194" cm="1">
        <f t="array" ref="G194">_xlfn.IFS(
D194&gt;=_xlfn.PERCENTILE.INC($D$2:$D$246,0.8),5,
D194&gt;=_xlfn.PERCENTILE.INC($D$2:$D$246,0.6),4,
D194&gt;=_xlfn.PERCENTILE.INC($D$2:$D$246,0.4),3,
D194&gt;=_xlfn.PERCENTILE.INC($D$2:$D$246,0.2),2,
TRUE,1
)</f>
        <v>3</v>
      </c>
      <c r="H194">
        <f t="shared" si="2"/>
        <v>11</v>
      </c>
      <c r="I194" t="str" cm="1">
        <f t="array" ref="I194">_xlfn.IFS(H194&gt;=13,"Best Customers",H194&gt;=10,"Loyal Customers",H194&gt;=7,"Potential Loyal Customers",H194&gt;=4,"Need Attention",TRUE,"At Risk")</f>
        <v>Loyal Customers</v>
      </c>
    </row>
    <row r="195" spans="1:9" x14ac:dyDescent="0.25">
      <c r="A195" t="s">
        <v>205</v>
      </c>
      <c r="B195" s="5">
        <v>116</v>
      </c>
      <c r="C195" s="5">
        <v>2</v>
      </c>
      <c r="D195" s="2">
        <v>5443.6399999999994</v>
      </c>
      <c r="E195" cm="1">
        <f t="array" ref="E195">_xlfn.IFS(
B195&lt;=_xlfn.PERCENTILE.INC($B$2:$B$246,0.2),5,
B195&lt;=_xlfn.PERCENTILE.INC($B$2:$B$246,0.4),4,
B195&lt;=_xlfn.PERCENTILE.INC($B$2:$B$246,0.6),3,
B195&lt;=_xlfn.PERCENTILE.INC($B$2:$B$246,0.8),2,
TRUE,1
)</f>
        <v>3</v>
      </c>
      <c r="F195" cm="1">
        <f t="array" ref="F195">_xlfn.IFS(
C195&gt;=_xlfn.PERCENTILE.INC($C$2:$C$246,0.8),5,
C195&gt;=_xlfn.PERCENTILE.INC($C$2:$C$246,0.6),4,
C195&gt;=_xlfn.PERCENTILE.INC($C$2:$C$246,0.4),3,
C195&gt;=_xlfn.PERCENTILE.INC($C$2:$C$246,0.2),2,
TRUE,1
)</f>
        <v>2</v>
      </c>
      <c r="G195" cm="1">
        <f t="array" ref="G195">_xlfn.IFS(
D195&gt;=_xlfn.PERCENTILE.INC($D$2:$D$246,0.8),5,
D195&gt;=_xlfn.PERCENTILE.INC($D$2:$D$246,0.6),4,
D195&gt;=_xlfn.PERCENTILE.INC($D$2:$D$246,0.4),3,
D195&gt;=_xlfn.PERCENTILE.INC($D$2:$D$246,0.2),2,
TRUE,1
)</f>
        <v>1</v>
      </c>
      <c r="H195">
        <f t="shared" ref="H195:H246" si="3">E195+F195+G195</f>
        <v>6</v>
      </c>
      <c r="I195" t="str" cm="1">
        <f t="array" ref="I195">_xlfn.IFS(H195&gt;=13,"Best Customers",H195&gt;=10,"Loyal Customers",H195&gt;=7,"Potential Loyal Customers",H195&gt;=4,"Need Attention",TRUE,"At Risk")</f>
        <v>Need Attention</v>
      </c>
    </row>
    <row r="196" spans="1:9" x14ac:dyDescent="0.25">
      <c r="A196" t="s">
        <v>432</v>
      </c>
      <c r="B196" s="5">
        <v>223</v>
      </c>
      <c r="C196" s="5">
        <v>3</v>
      </c>
      <c r="D196" s="2">
        <v>5463.96</v>
      </c>
      <c r="E196" cm="1">
        <f t="array" ref="E196">_xlfn.IFS(
B196&lt;=_xlfn.PERCENTILE.INC($B$2:$B$246,0.2),5,
B196&lt;=_xlfn.PERCENTILE.INC($B$2:$B$246,0.4),4,
B196&lt;=_xlfn.PERCENTILE.INC($B$2:$B$246,0.6),3,
B196&lt;=_xlfn.PERCENTILE.INC($B$2:$B$246,0.8),2,
TRUE,1
)</f>
        <v>2</v>
      </c>
      <c r="F196" cm="1">
        <f t="array" ref="F196">_xlfn.IFS(
C196&gt;=_xlfn.PERCENTILE.INC($C$2:$C$246,0.8),5,
C196&gt;=_xlfn.PERCENTILE.INC($C$2:$C$246,0.6),4,
C196&gt;=_xlfn.PERCENTILE.INC($C$2:$C$246,0.4),3,
C196&gt;=_xlfn.PERCENTILE.INC($C$2:$C$246,0.2),2,
TRUE,1
)</f>
        <v>3</v>
      </c>
      <c r="G196" cm="1">
        <f t="array" ref="G196">_xlfn.IFS(
D196&gt;=_xlfn.PERCENTILE.INC($D$2:$D$246,0.8),5,
D196&gt;=_xlfn.PERCENTILE.INC($D$2:$D$246,0.6),4,
D196&gt;=_xlfn.PERCENTILE.INC($D$2:$D$246,0.4),3,
D196&gt;=_xlfn.PERCENTILE.INC($D$2:$D$246,0.2),2,
TRUE,1
)</f>
        <v>1</v>
      </c>
      <c r="H196">
        <f t="shared" si="3"/>
        <v>6</v>
      </c>
      <c r="I196" t="str" cm="1">
        <f t="array" ref="I196">_xlfn.IFS(H196&gt;=13,"Best Customers",H196&gt;=10,"Loyal Customers",H196&gt;=7,"Potential Loyal Customers",H196&gt;=4,"Need Attention",TRUE,"At Risk")</f>
        <v>Need Attention</v>
      </c>
    </row>
    <row r="197" spans="1:9" x14ac:dyDescent="0.25">
      <c r="A197" t="s">
        <v>185</v>
      </c>
      <c r="B197" s="5">
        <v>235</v>
      </c>
      <c r="C197" s="5">
        <v>6</v>
      </c>
      <c r="D197" s="2">
        <v>32319.559999999998</v>
      </c>
      <c r="E197" cm="1">
        <f t="array" ref="E197">_xlfn.IFS(
B197&lt;=_xlfn.PERCENTILE.INC($B$2:$B$246,0.2),5,
B197&lt;=_xlfn.PERCENTILE.INC($B$2:$B$246,0.4),4,
B197&lt;=_xlfn.PERCENTILE.INC($B$2:$B$246,0.6),3,
B197&lt;=_xlfn.PERCENTILE.INC($B$2:$B$246,0.8),2,
TRUE,1
)</f>
        <v>2</v>
      </c>
      <c r="F197" cm="1">
        <f t="array" ref="F197">_xlfn.IFS(
C197&gt;=_xlfn.PERCENTILE.INC($C$2:$C$246,0.8),5,
C197&gt;=_xlfn.PERCENTILE.INC($C$2:$C$246,0.6),4,
C197&gt;=_xlfn.PERCENTILE.INC($C$2:$C$246,0.4),3,
C197&gt;=_xlfn.PERCENTILE.INC($C$2:$C$246,0.2),2,
TRUE,1
)</f>
        <v>5</v>
      </c>
      <c r="G197" cm="1">
        <f t="array" ref="G197">_xlfn.IFS(
D197&gt;=_xlfn.PERCENTILE.INC($D$2:$D$246,0.8),5,
D197&gt;=_xlfn.PERCENTILE.INC($D$2:$D$246,0.6),4,
D197&gt;=_xlfn.PERCENTILE.INC($D$2:$D$246,0.4),3,
D197&gt;=_xlfn.PERCENTILE.INC($D$2:$D$246,0.2),2,
TRUE,1
)</f>
        <v>5</v>
      </c>
      <c r="H197">
        <f t="shared" si="3"/>
        <v>12</v>
      </c>
      <c r="I197" t="str" cm="1">
        <f t="array" ref="I197">_xlfn.IFS(H197&gt;=13,"Best Customers",H197&gt;=10,"Loyal Customers",H197&gt;=7,"Potential Loyal Customers",H197&gt;=4,"Need Attention",TRUE,"At Risk")</f>
        <v>Loyal Customers</v>
      </c>
    </row>
    <row r="198" spans="1:9" x14ac:dyDescent="0.25">
      <c r="A198" t="s">
        <v>286</v>
      </c>
      <c r="B198" s="5">
        <v>88</v>
      </c>
      <c r="C198" s="5">
        <v>6</v>
      </c>
      <c r="D198" s="2">
        <v>22246.39</v>
      </c>
      <c r="E198" cm="1">
        <f t="array" ref="E198">_xlfn.IFS(
B198&lt;=_xlfn.PERCENTILE.INC($B$2:$B$246,0.2),5,
B198&lt;=_xlfn.PERCENTILE.INC($B$2:$B$246,0.4),4,
B198&lt;=_xlfn.PERCENTILE.INC($B$2:$B$246,0.6),3,
B198&lt;=_xlfn.PERCENTILE.INC($B$2:$B$246,0.8),2,
TRUE,1
)</f>
        <v>4</v>
      </c>
      <c r="F198" cm="1">
        <f t="array" ref="F198">_xlfn.IFS(
C198&gt;=_xlfn.PERCENTILE.INC($C$2:$C$246,0.8),5,
C198&gt;=_xlfn.PERCENTILE.INC($C$2:$C$246,0.6),4,
C198&gt;=_xlfn.PERCENTILE.INC($C$2:$C$246,0.4),3,
C198&gt;=_xlfn.PERCENTILE.INC($C$2:$C$246,0.2),2,
TRUE,1
)</f>
        <v>5</v>
      </c>
      <c r="G198" cm="1">
        <f t="array" ref="G198">_xlfn.IFS(
D198&gt;=_xlfn.PERCENTILE.INC($D$2:$D$246,0.8),5,
D198&gt;=_xlfn.PERCENTILE.INC($D$2:$D$246,0.6),4,
D198&gt;=_xlfn.PERCENTILE.INC($D$2:$D$246,0.4),3,
D198&gt;=_xlfn.PERCENTILE.INC($D$2:$D$246,0.2),2,
TRUE,1
)</f>
        <v>4</v>
      </c>
      <c r="H198">
        <f t="shared" si="3"/>
        <v>13</v>
      </c>
      <c r="I198" t="str" cm="1">
        <f t="array" ref="I198">_xlfn.IFS(H198&gt;=13,"Best Customers",H198&gt;=10,"Loyal Customers",H198&gt;=7,"Potential Loyal Customers",H198&gt;=4,"Need Attention",TRUE,"At Risk")</f>
        <v>Best Customers</v>
      </c>
    </row>
    <row r="199" spans="1:9" x14ac:dyDescent="0.25">
      <c r="A199" t="s">
        <v>556</v>
      </c>
      <c r="B199" s="5">
        <v>26</v>
      </c>
      <c r="C199" s="5">
        <v>5</v>
      </c>
      <c r="D199" s="2">
        <v>21472.47</v>
      </c>
      <c r="E199" cm="1">
        <f t="array" ref="E199">_xlfn.IFS(
B199&lt;=_xlfn.PERCENTILE.INC($B$2:$B$246,0.2),5,
B199&lt;=_xlfn.PERCENTILE.INC($B$2:$B$246,0.4),4,
B199&lt;=_xlfn.PERCENTILE.INC($B$2:$B$246,0.6),3,
B199&lt;=_xlfn.PERCENTILE.INC($B$2:$B$246,0.8),2,
TRUE,1
)</f>
        <v>5</v>
      </c>
      <c r="F199" cm="1">
        <f t="array" ref="F199">_xlfn.IFS(
C199&gt;=_xlfn.PERCENTILE.INC($C$2:$C$246,0.8),5,
C199&gt;=_xlfn.PERCENTILE.INC($C$2:$C$246,0.6),4,
C199&gt;=_xlfn.PERCENTILE.INC($C$2:$C$246,0.4),3,
C199&gt;=_xlfn.PERCENTILE.INC($C$2:$C$246,0.2),2,
TRUE,1
)</f>
        <v>4</v>
      </c>
      <c r="G199" cm="1">
        <f t="array" ref="G199">_xlfn.IFS(
D199&gt;=_xlfn.PERCENTILE.INC($D$2:$D$246,0.8),5,
D199&gt;=_xlfn.PERCENTILE.INC($D$2:$D$246,0.6),4,
D199&gt;=_xlfn.PERCENTILE.INC($D$2:$D$246,0.4),3,
D199&gt;=_xlfn.PERCENTILE.INC($D$2:$D$246,0.2),2,
TRUE,1
)</f>
        <v>3</v>
      </c>
      <c r="H199">
        <f t="shared" si="3"/>
        <v>12</v>
      </c>
      <c r="I199" t="str" cm="1">
        <f t="array" ref="I199">_xlfn.IFS(H199&gt;=13,"Best Customers",H199&gt;=10,"Loyal Customers",H199&gt;=7,"Potential Loyal Customers",H199&gt;=4,"Need Attention",TRUE,"At Risk")</f>
        <v>Loyal Customers</v>
      </c>
    </row>
    <row r="200" spans="1:9" x14ac:dyDescent="0.25">
      <c r="A200" t="s">
        <v>26</v>
      </c>
      <c r="B200" s="5">
        <v>288</v>
      </c>
      <c r="C200" s="5">
        <v>6</v>
      </c>
      <c r="D200" s="2">
        <v>23239.89</v>
      </c>
      <c r="E200" cm="1">
        <f t="array" ref="E200">_xlfn.IFS(
B200&lt;=_xlfn.PERCENTILE.INC($B$2:$B$246,0.2),5,
B200&lt;=_xlfn.PERCENTILE.INC($B$2:$B$246,0.4),4,
B200&lt;=_xlfn.PERCENTILE.INC($B$2:$B$246,0.6),3,
B200&lt;=_xlfn.PERCENTILE.INC($B$2:$B$246,0.8),2,
TRUE,1
)</f>
        <v>1</v>
      </c>
      <c r="F200" cm="1">
        <f t="array" ref="F200">_xlfn.IFS(
C200&gt;=_xlfn.PERCENTILE.INC($C$2:$C$246,0.8),5,
C200&gt;=_xlfn.PERCENTILE.INC($C$2:$C$246,0.6),4,
C200&gt;=_xlfn.PERCENTILE.INC($C$2:$C$246,0.4),3,
C200&gt;=_xlfn.PERCENTILE.INC($C$2:$C$246,0.2),2,
TRUE,1
)</f>
        <v>5</v>
      </c>
      <c r="G200" cm="1">
        <f t="array" ref="G200">_xlfn.IFS(
D200&gt;=_xlfn.PERCENTILE.INC($D$2:$D$246,0.8),5,
D200&gt;=_xlfn.PERCENTILE.INC($D$2:$D$246,0.6),4,
D200&gt;=_xlfn.PERCENTILE.INC($D$2:$D$246,0.4),3,
D200&gt;=_xlfn.PERCENTILE.INC($D$2:$D$246,0.2),2,
TRUE,1
)</f>
        <v>4</v>
      </c>
      <c r="H200">
        <f t="shared" si="3"/>
        <v>10</v>
      </c>
      <c r="I200" t="str" cm="1">
        <f t="array" ref="I200">_xlfn.IFS(H200&gt;=13,"Best Customers",H200&gt;=10,"Loyal Customers",H200&gt;=7,"Potential Loyal Customers",H200&gt;=4,"Need Attention",TRUE,"At Risk")</f>
        <v>Loyal Customers</v>
      </c>
    </row>
    <row r="201" spans="1:9" x14ac:dyDescent="0.25">
      <c r="A201" t="s">
        <v>337</v>
      </c>
      <c r="B201" s="5">
        <v>236</v>
      </c>
      <c r="C201" s="5">
        <v>6</v>
      </c>
      <c r="D201" s="2">
        <v>43349.399999999994</v>
      </c>
      <c r="E201" cm="1">
        <f t="array" ref="E201">_xlfn.IFS(
B201&lt;=_xlfn.PERCENTILE.INC($B$2:$B$246,0.2),5,
B201&lt;=_xlfn.PERCENTILE.INC($B$2:$B$246,0.4),4,
B201&lt;=_xlfn.PERCENTILE.INC($B$2:$B$246,0.6),3,
B201&lt;=_xlfn.PERCENTILE.INC($B$2:$B$246,0.8),2,
TRUE,1
)</f>
        <v>2</v>
      </c>
      <c r="F201" cm="1">
        <f t="array" ref="F201">_xlfn.IFS(
C201&gt;=_xlfn.PERCENTILE.INC($C$2:$C$246,0.8),5,
C201&gt;=_xlfn.PERCENTILE.INC($C$2:$C$246,0.6),4,
C201&gt;=_xlfn.PERCENTILE.INC($C$2:$C$246,0.4),3,
C201&gt;=_xlfn.PERCENTILE.INC($C$2:$C$246,0.2),2,
TRUE,1
)</f>
        <v>5</v>
      </c>
      <c r="G201" cm="1">
        <f t="array" ref="G201">_xlfn.IFS(
D201&gt;=_xlfn.PERCENTILE.INC($D$2:$D$246,0.8),5,
D201&gt;=_xlfn.PERCENTILE.INC($D$2:$D$246,0.6),4,
D201&gt;=_xlfn.PERCENTILE.INC($D$2:$D$246,0.4),3,
D201&gt;=_xlfn.PERCENTILE.INC($D$2:$D$246,0.2),2,
TRUE,1
)</f>
        <v>5</v>
      </c>
      <c r="H201">
        <f t="shared" si="3"/>
        <v>12</v>
      </c>
      <c r="I201" t="str" cm="1">
        <f t="array" ref="I201">_xlfn.IFS(H201&gt;=13,"Best Customers",H201&gt;=10,"Loyal Customers",H201&gt;=7,"Potential Loyal Customers",H201&gt;=4,"Need Attention",TRUE,"At Risk")</f>
        <v>Loyal Customers</v>
      </c>
    </row>
    <row r="202" spans="1:9" x14ac:dyDescent="0.25">
      <c r="A202" t="s">
        <v>189</v>
      </c>
      <c r="B202" s="5">
        <v>232</v>
      </c>
      <c r="C202" s="5">
        <v>6</v>
      </c>
      <c r="D202" s="2">
        <v>25096</v>
      </c>
      <c r="E202" cm="1">
        <f t="array" ref="E202">_xlfn.IFS(
B202&lt;=_xlfn.PERCENTILE.INC($B$2:$B$246,0.2),5,
B202&lt;=_xlfn.PERCENTILE.INC($B$2:$B$246,0.4),4,
B202&lt;=_xlfn.PERCENTILE.INC($B$2:$B$246,0.6),3,
B202&lt;=_xlfn.PERCENTILE.INC($B$2:$B$246,0.8),2,
TRUE,1
)</f>
        <v>2</v>
      </c>
      <c r="F202" cm="1">
        <f t="array" ref="F202">_xlfn.IFS(
C202&gt;=_xlfn.PERCENTILE.INC($C$2:$C$246,0.8),5,
C202&gt;=_xlfn.PERCENTILE.INC($C$2:$C$246,0.6),4,
C202&gt;=_xlfn.PERCENTILE.INC($C$2:$C$246,0.4),3,
C202&gt;=_xlfn.PERCENTILE.INC($C$2:$C$246,0.2),2,
TRUE,1
)</f>
        <v>5</v>
      </c>
      <c r="G202" cm="1">
        <f t="array" ref="G202">_xlfn.IFS(
D202&gt;=_xlfn.PERCENTILE.INC($D$2:$D$246,0.8),5,
D202&gt;=_xlfn.PERCENTILE.INC($D$2:$D$246,0.6),4,
D202&gt;=_xlfn.PERCENTILE.INC($D$2:$D$246,0.4),3,
D202&gt;=_xlfn.PERCENTILE.INC($D$2:$D$246,0.2),2,
TRUE,1
)</f>
        <v>4</v>
      </c>
      <c r="H202">
        <f t="shared" si="3"/>
        <v>11</v>
      </c>
      <c r="I202" t="str" cm="1">
        <f t="array" ref="I202">_xlfn.IFS(H202&gt;=13,"Best Customers",H202&gt;=10,"Loyal Customers",H202&gt;=7,"Potential Loyal Customers",H202&gt;=4,"Need Attention",TRUE,"At Risk")</f>
        <v>Loyal Customers</v>
      </c>
    </row>
    <row r="203" spans="1:9" x14ac:dyDescent="0.25">
      <c r="A203" t="s">
        <v>78</v>
      </c>
      <c r="B203" s="5">
        <v>224</v>
      </c>
      <c r="C203" s="5">
        <v>5</v>
      </c>
      <c r="D203" s="2">
        <v>14703.710000000001</v>
      </c>
      <c r="E203" cm="1">
        <f t="array" ref="E203">_xlfn.IFS(
B203&lt;=_xlfn.PERCENTILE.INC($B$2:$B$246,0.2),5,
B203&lt;=_xlfn.PERCENTILE.INC($B$2:$B$246,0.4),4,
B203&lt;=_xlfn.PERCENTILE.INC($B$2:$B$246,0.6),3,
B203&lt;=_xlfn.PERCENTILE.INC($B$2:$B$246,0.8),2,
TRUE,1
)</f>
        <v>2</v>
      </c>
      <c r="F203" cm="1">
        <f t="array" ref="F203">_xlfn.IFS(
C203&gt;=_xlfn.PERCENTILE.INC($C$2:$C$246,0.8),5,
C203&gt;=_xlfn.PERCENTILE.INC($C$2:$C$246,0.6),4,
C203&gt;=_xlfn.PERCENTILE.INC($C$2:$C$246,0.4),3,
C203&gt;=_xlfn.PERCENTILE.INC($C$2:$C$246,0.2),2,
TRUE,1
)</f>
        <v>4</v>
      </c>
      <c r="G203" cm="1">
        <f t="array" ref="G203">_xlfn.IFS(
D203&gt;=_xlfn.PERCENTILE.INC($D$2:$D$246,0.8),5,
D203&gt;=_xlfn.PERCENTILE.INC($D$2:$D$246,0.6),4,
D203&gt;=_xlfn.PERCENTILE.INC($D$2:$D$246,0.4),3,
D203&gt;=_xlfn.PERCENTILE.INC($D$2:$D$246,0.2),2,
TRUE,1
)</f>
        <v>2</v>
      </c>
      <c r="H203">
        <f t="shared" si="3"/>
        <v>8</v>
      </c>
      <c r="I203" t="str" cm="1">
        <f t="array" ref="I203">_xlfn.IFS(H203&gt;=13,"Best Customers",H203&gt;=10,"Loyal Customers",H203&gt;=7,"Potential Loyal Customers",H203&gt;=4,"Need Attention",TRUE,"At Risk")</f>
        <v>Potential Loyal Customers</v>
      </c>
    </row>
    <row r="204" spans="1:9" x14ac:dyDescent="0.25">
      <c r="A204" t="s">
        <v>203</v>
      </c>
      <c r="B204" s="5">
        <v>30</v>
      </c>
      <c r="C204" s="5">
        <v>5</v>
      </c>
      <c r="D204" s="2">
        <v>23487.729999999996</v>
      </c>
      <c r="E204" cm="1">
        <f t="array" ref="E204">_xlfn.IFS(
B204&lt;=_xlfn.PERCENTILE.INC($B$2:$B$246,0.2),5,
B204&lt;=_xlfn.PERCENTILE.INC($B$2:$B$246,0.4),4,
B204&lt;=_xlfn.PERCENTILE.INC($B$2:$B$246,0.6),3,
B204&lt;=_xlfn.PERCENTILE.INC($B$2:$B$246,0.8),2,
TRUE,1
)</f>
        <v>5</v>
      </c>
      <c r="F204" cm="1">
        <f t="array" ref="F204">_xlfn.IFS(
C204&gt;=_xlfn.PERCENTILE.INC($C$2:$C$246,0.8),5,
C204&gt;=_xlfn.PERCENTILE.INC($C$2:$C$246,0.6),4,
C204&gt;=_xlfn.PERCENTILE.INC($C$2:$C$246,0.4),3,
C204&gt;=_xlfn.PERCENTILE.INC($C$2:$C$246,0.2),2,
TRUE,1
)</f>
        <v>4</v>
      </c>
      <c r="G204" cm="1">
        <f t="array" ref="G204">_xlfn.IFS(
D204&gt;=_xlfn.PERCENTILE.INC($D$2:$D$246,0.8),5,
D204&gt;=_xlfn.PERCENTILE.INC($D$2:$D$246,0.6),4,
D204&gt;=_xlfn.PERCENTILE.INC($D$2:$D$246,0.4),3,
D204&gt;=_xlfn.PERCENTILE.INC($D$2:$D$246,0.2),2,
TRUE,1
)</f>
        <v>4</v>
      </c>
      <c r="H204">
        <f t="shared" si="3"/>
        <v>13</v>
      </c>
      <c r="I204" t="str" cm="1">
        <f t="array" ref="I204">_xlfn.IFS(H204&gt;=13,"Best Customers",H204&gt;=10,"Loyal Customers",H204&gt;=7,"Potential Loyal Customers",H204&gt;=4,"Need Attention",TRUE,"At Risk")</f>
        <v>Best Customers</v>
      </c>
    </row>
    <row r="205" spans="1:9" x14ac:dyDescent="0.25">
      <c r="A205" t="s">
        <v>12</v>
      </c>
      <c r="B205" s="5">
        <v>20</v>
      </c>
      <c r="C205" s="5">
        <v>5</v>
      </c>
      <c r="D205" s="2">
        <v>23269.889999999996</v>
      </c>
      <c r="E205" cm="1">
        <f t="array" ref="E205">_xlfn.IFS(
B205&lt;=_xlfn.PERCENTILE.INC($B$2:$B$246,0.2),5,
B205&lt;=_xlfn.PERCENTILE.INC($B$2:$B$246,0.4),4,
B205&lt;=_xlfn.PERCENTILE.INC($B$2:$B$246,0.6),3,
B205&lt;=_xlfn.PERCENTILE.INC($B$2:$B$246,0.8),2,
TRUE,1
)</f>
        <v>5</v>
      </c>
      <c r="F205" cm="1">
        <f t="array" ref="F205">_xlfn.IFS(
C205&gt;=_xlfn.PERCENTILE.INC($C$2:$C$246,0.8),5,
C205&gt;=_xlfn.PERCENTILE.INC($C$2:$C$246,0.6),4,
C205&gt;=_xlfn.PERCENTILE.INC($C$2:$C$246,0.4),3,
C205&gt;=_xlfn.PERCENTILE.INC($C$2:$C$246,0.2),2,
TRUE,1
)</f>
        <v>4</v>
      </c>
      <c r="G205" cm="1">
        <f t="array" ref="G205">_xlfn.IFS(
D205&gt;=_xlfn.PERCENTILE.INC($D$2:$D$246,0.8),5,
D205&gt;=_xlfn.PERCENTILE.INC($D$2:$D$246,0.6),4,
D205&gt;=_xlfn.PERCENTILE.INC($D$2:$D$246,0.4),3,
D205&gt;=_xlfn.PERCENTILE.INC($D$2:$D$246,0.2),2,
TRUE,1
)</f>
        <v>4</v>
      </c>
      <c r="H205">
        <f t="shared" si="3"/>
        <v>13</v>
      </c>
      <c r="I205" t="str" cm="1">
        <f t="array" ref="I205">_xlfn.IFS(H205&gt;=13,"Best Customers",H205&gt;=10,"Loyal Customers",H205&gt;=7,"Potential Loyal Customers",H205&gt;=4,"Need Attention",TRUE,"At Risk")</f>
        <v>Best Customers</v>
      </c>
    </row>
    <row r="206" spans="1:9" x14ac:dyDescent="0.25">
      <c r="A206" t="s">
        <v>67</v>
      </c>
      <c r="B206" s="5">
        <v>118</v>
      </c>
      <c r="C206" s="5">
        <v>4</v>
      </c>
      <c r="D206" s="2">
        <v>16810.82</v>
      </c>
      <c r="E206" cm="1">
        <f t="array" ref="E206">_xlfn.IFS(
B206&lt;=_xlfn.PERCENTILE.INC($B$2:$B$246,0.2),5,
B206&lt;=_xlfn.PERCENTILE.INC($B$2:$B$246,0.4),4,
B206&lt;=_xlfn.PERCENTILE.INC($B$2:$B$246,0.6),3,
B206&lt;=_xlfn.PERCENTILE.INC($B$2:$B$246,0.8),2,
TRUE,1
)</f>
        <v>3</v>
      </c>
      <c r="F206" cm="1">
        <f t="array" ref="F206">_xlfn.IFS(
C206&gt;=_xlfn.PERCENTILE.INC($C$2:$C$246,0.8),5,
C206&gt;=_xlfn.PERCENTILE.INC($C$2:$C$246,0.6),4,
C206&gt;=_xlfn.PERCENTILE.INC($C$2:$C$246,0.4),3,
C206&gt;=_xlfn.PERCENTILE.INC($C$2:$C$246,0.2),2,
TRUE,1
)</f>
        <v>3</v>
      </c>
      <c r="G206" cm="1">
        <f t="array" ref="G206">_xlfn.IFS(
D206&gt;=_xlfn.PERCENTILE.INC($D$2:$D$246,0.8),5,
D206&gt;=_xlfn.PERCENTILE.INC($D$2:$D$246,0.6),4,
D206&gt;=_xlfn.PERCENTILE.INC($D$2:$D$246,0.4),3,
D206&gt;=_xlfn.PERCENTILE.INC($D$2:$D$246,0.2),2,
TRUE,1
)</f>
        <v>3</v>
      </c>
      <c r="H206">
        <f t="shared" si="3"/>
        <v>9</v>
      </c>
      <c r="I206" t="str" cm="1">
        <f t="array" ref="I206">_xlfn.IFS(H206&gt;=13,"Best Customers",H206&gt;=10,"Loyal Customers",H206&gt;=7,"Potential Loyal Customers",H206&gt;=4,"Need Attention",TRUE,"At Risk")</f>
        <v>Potential Loyal Customers</v>
      </c>
    </row>
    <row r="207" spans="1:9" x14ac:dyDescent="0.25">
      <c r="A207" t="s">
        <v>321</v>
      </c>
      <c r="B207" s="5">
        <v>329</v>
      </c>
      <c r="C207" s="5">
        <v>1</v>
      </c>
      <c r="D207" s="2">
        <v>1236.68</v>
      </c>
      <c r="E207" cm="1">
        <f t="array" ref="E207">_xlfn.IFS(
B207&lt;=_xlfn.PERCENTILE.INC($B$2:$B$246,0.2),5,
B207&lt;=_xlfn.PERCENTILE.INC($B$2:$B$246,0.4),4,
B207&lt;=_xlfn.PERCENTILE.INC($B$2:$B$246,0.6),3,
B207&lt;=_xlfn.PERCENTILE.INC($B$2:$B$246,0.8),2,
TRUE,1
)</f>
        <v>1</v>
      </c>
      <c r="F207" cm="1">
        <f t="array" ref="F207">_xlfn.IFS(
C207&gt;=_xlfn.PERCENTILE.INC($C$2:$C$246,0.8),5,
C207&gt;=_xlfn.PERCENTILE.INC($C$2:$C$246,0.6),4,
C207&gt;=_xlfn.PERCENTILE.INC($C$2:$C$246,0.4),3,
C207&gt;=_xlfn.PERCENTILE.INC($C$2:$C$246,0.2),2,
TRUE,1
)</f>
        <v>1</v>
      </c>
      <c r="G207" cm="1">
        <f t="array" ref="G207">_xlfn.IFS(
D207&gt;=_xlfn.PERCENTILE.INC($D$2:$D$246,0.8),5,
D207&gt;=_xlfn.PERCENTILE.INC($D$2:$D$246,0.6),4,
D207&gt;=_xlfn.PERCENTILE.INC($D$2:$D$246,0.4),3,
D207&gt;=_xlfn.PERCENTILE.INC($D$2:$D$246,0.2),2,
TRUE,1
)</f>
        <v>1</v>
      </c>
      <c r="H207">
        <f t="shared" si="3"/>
        <v>3</v>
      </c>
      <c r="I207" t="str" cm="1">
        <f t="array" ref="I207">_xlfn.IFS(H207&gt;=13,"Best Customers",H207&gt;=10,"Loyal Customers",H207&gt;=7,"Potential Loyal Customers",H207&gt;=4,"Need Attention",TRUE,"At Risk")</f>
        <v>At Risk</v>
      </c>
    </row>
    <row r="208" spans="1:9" x14ac:dyDescent="0.25">
      <c r="A208" t="s">
        <v>711</v>
      </c>
      <c r="B208" s="5">
        <v>13</v>
      </c>
      <c r="C208" s="5">
        <v>5</v>
      </c>
      <c r="D208" s="2">
        <v>27429.9</v>
      </c>
      <c r="E208" cm="1">
        <f t="array" ref="E208">_xlfn.IFS(
B208&lt;=_xlfn.PERCENTILE.INC($B$2:$B$246,0.2),5,
B208&lt;=_xlfn.PERCENTILE.INC($B$2:$B$246,0.4),4,
B208&lt;=_xlfn.PERCENTILE.INC($B$2:$B$246,0.6),3,
B208&lt;=_xlfn.PERCENTILE.INC($B$2:$B$246,0.8),2,
TRUE,1
)</f>
        <v>5</v>
      </c>
      <c r="F208" cm="1">
        <f t="array" ref="F208">_xlfn.IFS(
C208&gt;=_xlfn.PERCENTILE.INC($C$2:$C$246,0.8),5,
C208&gt;=_xlfn.PERCENTILE.INC($C$2:$C$246,0.6),4,
C208&gt;=_xlfn.PERCENTILE.INC($C$2:$C$246,0.4),3,
C208&gt;=_xlfn.PERCENTILE.INC($C$2:$C$246,0.2),2,
TRUE,1
)</f>
        <v>4</v>
      </c>
      <c r="G208" cm="1">
        <f t="array" ref="G208">_xlfn.IFS(
D208&gt;=_xlfn.PERCENTILE.INC($D$2:$D$246,0.8),5,
D208&gt;=_xlfn.PERCENTILE.INC($D$2:$D$246,0.6),4,
D208&gt;=_xlfn.PERCENTILE.INC($D$2:$D$246,0.4),3,
D208&gt;=_xlfn.PERCENTILE.INC($D$2:$D$246,0.2),2,
TRUE,1
)</f>
        <v>4</v>
      </c>
      <c r="H208">
        <f t="shared" si="3"/>
        <v>13</v>
      </c>
      <c r="I208" t="str" cm="1">
        <f t="array" ref="I208">_xlfn.IFS(H208&gt;=13,"Best Customers",H208&gt;=10,"Loyal Customers",H208&gt;=7,"Potential Loyal Customers",H208&gt;=4,"Need Attention",TRUE,"At Risk")</f>
        <v>Best Customers</v>
      </c>
    </row>
    <row r="209" spans="1:9" x14ac:dyDescent="0.25">
      <c r="A209" t="s">
        <v>956</v>
      </c>
      <c r="B209" s="5">
        <v>265</v>
      </c>
      <c r="C209" s="5">
        <v>4</v>
      </c>
      <c r="D209" s="2">
        <v>14383.25</v>
      </c>
      <c r="E209" cm="1">
        <f t="array" ref="E209">_xlfn.IFS(
B209&lt;=_xlfn.PERCENTILE.INC($B$2:$B$246,0.2),5,
B209&lt;=_xlfn.PERCENTILE.INC($B$2:$B$246,0.4),4,
B209&lt;=_xlfn.PERCENTILE.INC($B$2:$B$246,0.6),3,
B209&lt;=_xlfn.PERCENTILE.INC($B$2:$B$246,0.8),2,
TRUE,1
)</f>
        <v>2</v>
      </c>
      <c r="F209" cm="1">
        <f t="array" ref="F209">_xlfn.IFS(
C209&gt;=_xlfn.PERCENTILE.INC($C$2:$C$246,0.8),5,
C209&gt;=_xlfn.PERCENTILE.INC($C$2:$C$246,0.6),4,
C209&gt;=_xlfn.PERCENTILE.INC($C$2:$C$246,0.4),3,
C209&gt;=_xlfn.PERCENTILE.INC($C$2:$C$246,0.2),2,
TRUE,1
)</f>
        <v>3</v>
      </c>
      <c r="G209" cm="1">
        <f t="array" ref="G209">_xlfn.IFS(
D209&gt;=_xlfn.PERCENTILE.INC($D$2:$D$246,0.8),5,
D209&gt;=_xlfn.PERCENTILE.INC($D$2:$D$246,0.6),4,
D209&gt;=_xlfn.PERCENTILE.INC($D$2:$D$246,0.4),3,
D209&gt;=_xlfn.PERCENTILE.INC($D$2:$D$246,0.2),2,
TRUE,1
)</f>
        <v>2</v>
      </c>
      <c r="H209">
        <f t="shared" si="3"/>
        <v>7</v>
      </c>
      <c r="I209" t="str" cm="1">
        <f t="array" ref="I209">_xlfn.IFS(H209&gt;=13,"Best Customers",H209&gt;=10,"Loyal Customers",H209&gt;=7,"Potential Loyal Customers",H209&gt;=4,"Need Attention",TRUE,"At Risk")</f>
        <v>Potential Loyal Customers</v>
      </c>
    </row>
    <row r="210" spans="1:9" x14ac:dyDescent="0.25">
      <c r="A210" t="s">
        <v>72</v>
      </c>
      <c r="B210" s="5">
        <v>95</v>
      </c>
      <c r="C210" s="5">
        <v>4</v>
      </c>
      <c r="D210" s="2">
        <v>19284.150000000001</v>
      </c>
      <c r="E210" cm="1">
        <f t="array" ref="E210">_xlfn.IFS(
B210&lt;=_xlfn.PERCENTILE.INC($B$2:$B$246,0.2),5,
B210&lt;=_xlfn.PERCENTILE.INC($B$2:$B$246,0.4),4,
B210&lt;=_xlfn.PERCENTILE.INC($B$2:$B$246,0.6),3,
B210&lt;=_xlfn.PERCENTILE.INC($B$2:$B$246,0.8),2,
TRUE,1
)</f>
        <v>4</v>
      </c>
      <c r="F210" cm="1">
        <f t="array" ref="F210">_xlfn.IFS(
C210&gt;=_xlfn.PERCENTILE.INC($C$2:$C$246,0.8),5,
C210&gt;=_xlfn.PERCENTILE.INC($C$2:$C$246,0.6),4,
C210&gt;=_xlfn.PERCENTILE.INC($C$2:$C$246,0.4),3,
C210&gt;=_xlfn.PERCENTILE.INC($C$2:$C$246,0.2),2,
TRUE,1
)</f>
        <v>3</v>
      </c>
      <c r="G210" cm="1">
        <f t="array" ref="G210">_xlfn.IFS(
D210&gt;=_xlfn.PERCENTILE.INC($D$2:$D$246,0.8),5,
D210&gt;=_xlfn.PERCENTILE.INC($D$2:$D$246,0.6),4,
D210&gt;=_xlfn.PERCENTILE.INC($D$2:$D$246,0.4),3,
D210&gt;=_xlfn.PERCENTILE.INC($D$2:$D$246,0.2),2,
TRUE,1
)</f>
        <v>3</v>
      </c>
      <c r="H210">
        <f t="shared" si="3"/>
        <v>10</v>
      </c>
      <c r="I210" t="str" cm="1">
        <f t="array" ref="I210">_xlfn.IFS(H210&gt;=13,"Best Customers",H210&gt;=10,"Loyal Customers",H210&gt;=7,"Potential Loyal Customers",H210&gt;=4,"Need Attention",TRUE,"At Risk")</f>
        <v>Loyal Customers</v>
      </c>
    </row>
    <row r="211" spans="1:9" x14ac:dyDescent="0.25">
      <c r="A211" t="s">
        <v>425</v>
      </c>
      <c r="B211" s="5">
        <v>297</v>
      </c>
      <c r="C211" s="5">
        <v>2</v>
      </c>
      <c r="D211" s="2">
        <v>9920.15</v>
      </c>
      <c r="E211" cm="1">
        <f t="array" ref="E211">_xlfn.IFS(
B211&lt;=_xlfn.PERCENTILE.INC($B$2:$B$246,0.2),5,
B211&lt;=_xlfn.PERCENTILE.INC($B$2:$B$246,0.4),4,
B211&lt;=_xlfn.PERCENTILE.INC($B$2:$B$246,0.6),3,
B211&lt;=_xlfn.PERCENTILE.INC($B$2:$B$246,0.8),2,
TRUE,1
)</f>
        <v>1</v>
      </c>
      <c r="F211" cm="1">
        <f t="array" ref="F211">_xlfn.IFS(
C211&gt;=_xlfn.PERCENTILE.INC($C$2:$C$246,0.8),5,
C211&gt;=_xlfn.PERCENTILE.INC($C$2:$C$246,0.6),4,
C211&gt;=_xlfn.PERCENTILE.INC($C$2:$C$246,0.4),3,
C211&gt;=_xlfn.PERCENTILE.INC($C$2:$C$246,0.2),2,
TRUE,1
)</f>
        <v>2</v>
      </c>
      <c r="G211" cm="1">
        <f t="array" ref="G211">_xlfn.IFS(
D211&gt;=_xlfn.PERCENTILE.INC($D$2:$D$246,0.8),5,
D211&gt;=_xlfn.PERCENTILE.INC($D$2:$D$246,0.6),4,
D211&gt;=_xlfn.PERCENTILE.INC($D$2:$D$246,0.4),3,
D211&gt;=_xlfn.PERCENTILE.INC($D$2:$D$246,0.2),2,
TRUE,1
)</f>
        <v>1</v>
      </c>
      <c r="H211">
        <f t="shared" si="3"/>
        <v>4</v>
      </c>
      <c r="I211" t="str" cm="1">
        <f t="array" ref="I211">_xlfn.IFS(H211&gt;=13,"Best Customers",H211&gt;=10,"Loyal Customers",H211&gt;=7,"Potential Loyal Customers",H211&gt;=4,"Need Attention",TRUE,"At Risk")</f>
        <v>Need Attention</v>
      </c>
    </row>
    <row r="212" spans="1:9" x14ac:dyDescent="0.25">
      <c r="A212" t="s">
        <v>56</v>
      </c>
      <c r="B212" s="5">
        <v>124</v>
      </c>
      <c r="C212" s="5">
        <v>4</v>
      </c>
      <c r="D212" s="2">
        <v>18902.64</v>
      </c>
      <c r="E212" cm="1">
        <f t="array" ref="E212">_xlfn.IFS(
B212&lt;=_xlfn.PERCENTILE.INC($B$2:$B$246,0.2),5,
B212&lt;=_xlfn.PERCENTILE.INC($B$2:$B$246,0.4),4,
B212&lt;=_xlfn.PERCENTILE.INC($B$2:$B$246,0.6),3,
B212&lt;=_xlfn.PERCENTILE.INC($B$2:$B$246,0.8),2,
TRUE,1
)</f>
        <v>3</v>
      </c>
      <c r="F212" cm="1">
        <f t="array" ref="F212">_xlfn.IFS(
C212&gt;=_xlfn.PERCENTILE.INC($C$2:$C$246,0.8),5,
C212&gt;=_xlfn.PERCENTILE.INC($C$2:$C$246,0.6),4,
C212&gt;=_xlfn.PERCENTILE.INC($C$2:$C$246,0.4),3,
C212&gt;=_xlfn.PERCENTILE.INC($C$2:$C$246,0.2),2,
TRUE,1
)</f>
        <v>3</v>
      </c>
      <c r="G212" cm="1">
        <f t="array" ref="G212">_xlfn.IFS(
D212&gt;=_xlfn.PERCENTILE.INC($D$2:$D$246,0.8),5,
D212&gt;=_xlfn.PERCENTILE.INC($D$2:$D$246,0.6),4,
D212&gt;=_xlfn.PERCENTILE.INC($D$2:$D$246,0.4),3,
D212&gt;=_xlfn.PERCENTILE.INC($D$2:$D$246,0.2),2,
TRUE,1
)</f>
        <v>3</v>
      </c>
      <c r="H212">
        <f t="shared" si="3"/>
        <v>9</v>
      </c>
      <c r="I212" t="str" cm="1">
        <f t="array" ref="I212">_xlfn.IFS(H212&gt;=13,"Best Customers",H212&gt;=10,"Loyal Customers",H212&gt;=7,"Potential Loyal Customers",H212&gt;=4,"Need Attention",TRUE,"At Risk")</f>
        <v>Potential Loyal Customers</v>
      </c>
    </row>
    <row r="213" spans="1:9" x14ac:dyDescent="0.25">
      <c r="A213" t="s">
        <v>198</v>
      </c>
      <c r="B213" s="5">
        <v>33</v>
      </c>
      <c r="C213" s="5">
        <v>5</v>
      </c>
      <c r="D213" s="2">
        <v>25155.53</v>
      </c>
      <c r="E213" cm="1">
        <f t="array" ref="E213">_xlfn.IFS(
B213&lt;=_xlfn.PERCENTILE.INC($B$2:$B$246,0.2),5,
B213&lt;=_xlfn.PERCENTILE.INC($B$2:$B$246,0.4),4,
B213&lt;=_xlfn.PERCENTILE.INC($B$2:$B$246,0.6),3,
B213&lt;=_xlfn.PERCENTILE.INC($B$2:$B$246,0.8),2,
TRUE,1
)</f>
        <v>5</v>
      </c>
      <c r="F213" cm="1">
        <f t="array" ref="F213">_xlfn.IFS(
C213&gt;=_xlfn.PERCENTILE.INC($C$2:$C$246,0.8),5,
C213&gt;=_xlfn.PERCENTILE.INC($C$2:$C$246,0.6),4,
C213&gt;=_xlfn.PERCENTILE.INC($C$2:$C$246,0.4),3,
C213&gt;=_xlfn.PERCENTILE.INC($C$2:$C$246,0.2),2,
TRUE,1
)</f>
        <v>4</v>
      </c>
      <c r="G213" cm="1">
        <f t="array" ref="G213">_xlfn.IFS(
D213&gt;=_xlfn.PERCENTILE.INC($D$2:$D$246,0.8),5,
D213&gt;=_xlfn.PERCENTILE.INC($D$2:$D$246,0.6),4,
D213&gt;=_xlfn.PERCENTILE.INC($D$2:$D$246,0.4),3,
D213&gt;=_xlfn.PERCENTILE.INC($D$2:$D$246,0.2),2,
TRUE,1
)</f>
        <v>4</v>
      </c>
      <c r="H213">
        <f t="shared" si="3"/>
        <v>13</v>
      </c>
      <c r="I213" t="str" cm="1">
        <f t="array" ref="I213">_xlfn.IFS(H213&gt;=13,"Best Customers",H213&gt;=10,"Loyal Customers",H213&gt;=7,"Potential Loyal Customers",H213&gt;=4,"Need Attention",TRUE,"At Risk")</f>
        <v>Best Customers</v>
      </c>
    </row>
    <row r="214" spans="1:9" x14ac:dyDescent="0.25">
      <c r="A214" t="s">
        <v>291</v>
      </c>
      <c r="B214" s="5">
        <v>134</v>
      </c>
      <c r="C214" s="5">
        <v>5</v>
      </c>
      <c r="D214" s="2">
        <v>20991.98</v>
      </c>
      <c r="E214" cm="1">
        <f t="array" ref="E214">_xlfn.IFS(
B214&lt;=_xlfn.PERCENTILE.INC($B$2:$B$246,0.2),5,
B214&lt;=_xlfn.PERCENTILE.INC($B$2:$B$246,0.4),4,
B214&lt;=_xlfn.PERCENTILE.INC($B$2:$B$246,0.6),3,
B214&lt;=_xlfn.PERCENTILE.INC($B$2:$B$246,0.8),2,
TRUE,1
)</f>
        <v>3</v>
      </c>
      <c r="F214" cm="1">
        <f t="array" ref="F214">_xlfn.IFS(
C214&gt;=_xlfn.PERCENTILE.INC($C$2:$C$246,0.8),5,
C214&gt;=_xlfn.PERCENTILE.INC($C$2:$C$246,0.6),4,
C214&gt;=_xlfn.PERCENTILE.INC($C$2:$C$246,0.4),3,
C214&gt;=_xlfn.PERCENTILE.INC($C$2:$C$246,0.2),2,
TRUE,1
)</f>
        <v>4</v>
      </c>
      <c r="G214" cm="1">
        <f t="array" ref="G214">_xlfn.IFS(
D214&gt;=_xlfn.PERCENTILE.INC($D$2:$D$246,0.8),5,
D214&gt;=_xlfn.PERCENTILE.INC($D$2:$D$246,0.6),4,
D214&gt;=_xlfn.PERCENTILE.INC($D$2:$D$246,0.4),3,
D214&gt;=_xlfn.PERCENTILE.INC($D$2:$D$246,0.2),2,
TRUE,1
)</f>
        <v>3</v>
      </c>
      <c r="H214">
        <f t="shared" si="3"/>
        <v>10</v>
      </c>
      <c r="I214" t="str" cm="1">
        <f t="array" ref="I214">_xlfn.IFS(H214&gt;=13,"Best Customers",H214&gt;=10,"Loyal Customers",H214&gt;=7,"Potential Loyal Customers",H214&gt;=4,"Need Attention",TRUE,"At Risk")</f>
        <v>Loyal Customers</v>
      </c>
    </row>
    <row r="215" spans="1:9" x14ac:dyDescent="0.25">
      <c r="A215" t="s">
        <v>146</v>
      </c>
      <c r="B215" s="5">
        <v>374</v>
      </c>
      <c r="C215" s="5">
        <v>2</v>
      </c>
      <c r="D215" s="2">
        <v>10347.630000000001</v>
      </c>
      <c r="E215" cm="1">
        <f t="array" ref="E215">_xlfn.IFS(
B215&lt;=_xlfn.PERCENTILE.INC($B$2:$B$246,0.2),5,
B215&lt;=_xlfn.PERCENTILE.INC($B$2:$B$246,0.4),4,
B215&lt;=_xlfn.PERCENTILE.INC($B$2:$B$246,0.6),3,
B215&lt;=_xlfn.PERCENTILE.INC($B$2:$B$246,0.8),2,
TRUE,1
)</f>
        <v>1</v>
      </c>
      <c r="F215" cm="1">
        <f t="array" ref="F215">_xlfn.IFS(
C215&gt;=_xlfn.PERCENTILE.INC($C$2:$C$246,0.8),5,
C215&gt;=_xlfn.PERCENTILE.INC($C$2:$C$246,0.6),4,
C215&gt;=_xlfn.PERCENTILE.INC($C$2:$C$246,0.4),3,
C215&gt;=_xlfn.PERCENTILE.INC($C$2:$C$246,0.2),2,
TRUE,1
)</f>
        <v>2</v>
      </c>
      <c r="G215" cm="1">
        <f t="array" ref="G215">_xlfn.IFS(
D215&gt;=_xlfn.PERCENTILE.INC($D$2:$D$246,0.8),5,
D215&gt;=_xlfn.PERCENTILE.INC($D$2:$D$246,0.6),4,
D215&gt;=_xlfn.PERCENTILE.INC($D$2:$D$246,0.4),3,
D215&gt;=_xlfn.PERCENTILE.INC($D$2:$D$246,0.2),2,
TRUE,1
)</f>
        <v>1</v>
      </c>
      <c r="H215">
        <f t="shared" si="3"/>
        <v>4</v>
      </c>
      <c r="I215" t="str" cm="1">
        <f t="array" ref="I215">_xlfn.IFS(H215&gt;=13,"Best Customers",H215&gt;=10,"Loyal Customers",H215&gt;=7,"Potential Loyal Customers",H215&gt;=4,"Need Attention",TRUE,"At Risk")</f>
        <v>Need Attention</v>
      </c>
    </row>
    <row r="216" spans="1:9" x14ac:dyDescent="0.25">
      <c r="A216" t="s">
        <v>722</v>
      </c>
      <c r="B216" s="5">
        <v>58</v>
      </c>
      <c r="C216" s="5">
        <v>3</v>
      </c>
      <c r="D216" s="2">
        <v>16858.75</v>
      </c>
      <c r="E216" cm="1">
        <f t="array" ref="E216">_xlfn.IFS(
B216&lt;=_xlfn.PERCENTILE.INC($B$2:$B$246,0.2),5,
B216&lt;=_xlfn.PERCENTILE.INC($B$2:$B$246,0.4),4,
B216&lt;=_xlfn.PERCENTILE.INC($B$2:$B$246,0.6),3,
B216&lt;=_xlfn.PERCENTILE.INC($B$2:$B$246,0.8),2,
TRUE,1
)</f>
        <v>4</v>
      </c>
      <c r="F216" cm="1">
        <f t="array" ref="F216">_xlfn.IFS(
C216&gt;=_xlfn.PERCENTILE.INC($C$2:$C$246,0.8),5,
C216&gt;=_xlfn.PERCENTILE.INC($C$2:$C$246,0.6),4,
C216&gt;=_xlfn.PERCENTILE.INC($C$2:$C$246,0.4),3,
C216&gt;=_xlfn.PERCENTILE.INC($C$2:$C$246,0.2),2,
TRUE,1
)</f>
        <v>3</v>
      </c>
      <c r="G216" cm="1">
        <f t="array" ref="G216">_xlfn.IFS(
D216&gt;=_xlfn.PERCENTILE.INC($D$2:$D$246,0.8),5,
D216&gt;=_xlfn.PERCENTILE.INC($D$2:$D$246,0.6),4,
D216&gt;=_xlfn.PERCENTILE.INC($D$2:$D$246,0.4),3,
D216&gt;=_xlfn.PERCENTILE.INC($D$2:$D$246,0.2),2,
TRUE,1
)</f>
        <v>3</v>
      </c>
      <c r="H216">
        <f t="shared" si="3"/>
        <v>10</v>
      </c>
      <c r="I216" t="str" cm="1">
        <f t="array" ref="I216">_xlfn.IFS(H216&gt;=13,"Best Customers",H216&gt;=10,"Loyal Customers",H216&gt;=7,"Potential Loyal Customers",H216&gt;=4,"Need Attention",TRUE,"At Risk")</f>
        <v>Loyal Customers</v>
      </c>
    </row>
    <row r="217" spans="1:9" x14ac:dyDescent="0.25">
      <c r="A217" t="s">
        <v>392</v>
      </c>
      <c r="B217" s="5">
        <v>150</v>
      </c>
      <c r="C217" s="5">
        <v>3</v>
      </c>
      <c r="D217" s="2">
        <v>18516.41</v>
      </c>
      <c r="E217" cm="1">
        <f t="array" ref="E217">_xlfn.IFS(
B217&lt;=_xlfn.PERCENTILE.INC($B$2:$B$246,0.2),5,
B217&lt;=_xlfn.PERCENTILE.INC($B$2:$B$246,0.4),4,
B217&lt;=_xlfn.PERCENTILE.INC($B$2:$B$246,0.6),3,
B217&lt;=_xlfn.PERCENTILE.INC($B$2:$B$246,0.8),2,
TRUE,1
)</f>
        <v>3</v>
      </c>
      <c r="F217" cm="1">
        <f t="array" ref="F217">_xlfn.IFS(
C217&gt;=_xlfn.PERCENTILE.INC($C$2:$C$246,0.8),5,
C217&gt;=_xlfn.PERCENTILE.INC($C$2:$C$246,0.6),4,
C217&gt;=_xlfn.PERCENTILE.INC($C$2:$C$246,0.4),3,
C217&gt;=_xlfn.PERCENTILE.INC($C$2:$C$246,0.2),2,
TRUE,1
)</f>
        <v>3</v>
      </c>
      <c r="G217" cm="1">
        <f t="array" ref="G217">_xlfn.IFS(
D217&gt;=_xlfn.PERCENTILE.INC($D$2:$D$246,0.8),5,
D217&gt;=_xlfn.PERCENTILE.INC($D$2:$D$246,0.6),4,
D217&gt;=_xlfn.PERCENTILE.INC($D$2:$D$246,0.4),3,
D217&gt;=_xlfn.PERCENTILE.INC($D$2:$D$246,0.2),2,
TRUE,1
)</f>
        <v>3</v>
      </c>
      <c r="H217">
        <f t="shared" si="3"/>
        <v>9</v>
      </c>
      <c r="I217" t="str" cm="1">
        <f t="array" ref="I217">_xlfn.IFS(H217&gt;=13,"Best Customers",H217&gt;=10,"Loyal Customers",H217&gt;=7,"Potential Loyal Customers",H217&gt;=4,"Need Attention",TRUE,"At Risk")</f>
        <v>Potential Loyal Customers</v>
      </c>
    </row>
    <row r="218" spans="1:9" x14ac:dyDescent="0.25">
      <c r="A218" t="s">
        <v>74</v>
      </c>
      <c r="B218" s="5">
        <v>24</v>
      </c>
      <c r="C218" s="5">
        <v>7</v>
      </c>
      <c r="D218" s="2">
        <v>48421.689999999995</v>
      </c>
      <c r="E218" cm="1">
        <f t="array" ref="E218">_xlfn.IFS(
B218&lt;=_xlfn.PERCENTILE.INC($B$2:$B$246,0.2),5,
B218&lt;=_xlfn.PERCENTILE.INC($B$2:$B$246,0.4),4,
B218&lt;=_xlfn.PERCENTILE.INC($B$2:$B$246,0.6),3,
B218&lt;=_xlfn.PERCENTILE.INC($B$2:$B$246,0.8),2,
TRUE,1
)</f>
        <v>5</v>
      </c>
      <c r="F218" cm="1">
        <f t="array" ref="F218">_xlfn.IFS(
C218&gt;=_xlfn.PERCENTILE.INC($C$2:$C$246,0.8),5,
C218&gt;=_xlfn.PERCENTILE.INC($C$2:$C$246,0.6),4,
C218&gt;=_xlfn.PERCENTILE.INC($C$2:$C$246,0.4),3,
C218&gt;=_xlfn.PERCENTILE.INC($C$2:$C$246,0.2),2,
TRUE,1
)</f>
        <v>5</v>
      </c>
      <c r="G218" cm="1">
        <f t="array" ref="G218">_xlfn.IFS(
D218&gt;=_xlfn.PERCENTILE.INC($D$2:$D$246,0.8),5,
D218&gt;=_xlfn.PERCENTILE.INC($D$2:$D$246,0.6),4,
D218&gt;=_xlfn.PERCENTILE.INC($D$2:$D$246,0.4),3,
D218&gt;=_xlfn.PERCENTILE.INC($D$2:$D$246,0.2),2,
TRUE,1
)</f>
        <v>5</v>
      </c>
      <c r="H218">
        <f t="shared" si="3"/>
        <v>15</v>
      </c>
      <c r="I218" t="str" cm="1">
        <f t="array" ref="I218">_xlfn.IFS(H218&gt;=13,"Best Customers",H218&gt;=10,"Loyal Customers",H218&gt;=7,"Potential Loyal Customers",H218&gt;=4,"Need Attention",TRUE,"At Risk")</f>
        <v>Best Customers</v>
      </c>
    </row>
    <row r="219" spans="1:9" x14ac:dyDescent="0.25">
      <c r="A219" t="s">
        <v>24</v>
      </c>
      <c r="B219" s="5">
        <v>144</v>
      </c>
      <c r="C219" s="5">
        <v>5</v>
      </c>
      <c r="D219" s="2">
        <v>22554.36</v>
      </c>
      <c r="E219" cm="1">
        <f t="array" ref="E219">_xlfn.IFS(
B219&lt;=_xlfn.PERCENTILE.INC($B$2:$B$246,0.2),5,
B219&lt;=_xlfn.PERCENTILE.INC($B$2:$B$246,0.4),4,
B219&lt;=_xlfn.PERCENTILE.INC($B$2:$B$246,0.6),3,
B219&lt;=_xlfn.PERCENTILE.INC($B$2:$B$246,0.8),2,
TRUE,1
)</f>
        <v>3</v>
      </c>
      <c r="F219" cm="1">
        <f t="array" ref="F219">_xlfn.IFS(
C219&gt;=_xlfn.PERCENTILE.INC($C$2:$C$246,0.8),5,
C219&gt;=_xlfn.PERCENTILE.INC($C$2:$C$246,0.6),4,
C219&gt;=_xlfn.PERCENTILE.INC($C$2:$C$246,0.4),3,
C219&gt;=_xlfn.PERCENTILE.INC($C$2:$C$246,0.2),2,
TRUE,1
)</f>
        <v>4</v>
      </c>
      <c r="G219" cm="1">
        <f t="array" ref="G219">_xlfn.IFS(
D219&gt;=_xlfn.PERCENTILE.INC($D$2:$D$246,0.8),5,
D219&gt;=_xlfn.PERCENTILE.INC($D$2:$D$246,0.6),4,
D219&gt;=_xlfn.PERCENTILE.INC($D$2:$D$246,0.4),3,
D219&gt;=_xlfn.PERCENTILE.INC($D$2:$D$246,0.2),2,
TRUE,1
)</f>
        <v>4</v>
      </c>
      <c r="H219">
        <f t="shared" si="3"/>
        <v>11</v>
      </c>
      <c r="I219" t="str" cm="1">
        <f t="array" ref="I219">_xlfn.IFS(H219&gt;=13,"Best Customers",H219&gt;=10,"Loyal Customers",H219&gt;=7,"Potential Loyal Customers",H219&gt;=4,"Need Attention",TRUE,"At Risk")</f>
        <v>Loyal Customers</v>
      </c>
    </row>
    <row r="220" spans="1:9" x14ac:dyDescent="0.25">
      <c r="A220" t="s">
        <v>9</v>
      </c>
      <c r="B220" s="5">
        <v>25</v>
      </c>
      <c r="C220" s="5">
        <v>3</v>
      </c>
      <c r="D220" s="2">
        <v>14692.509999999998</v>
      </c>
      <c r="E220" cm="1">
        <f t="array" ref="E220">_xlfn.IFS(
B220&lt;=_xlfn.PERCENTILE.INC($B$2:$B$246,0.2),5,
B220&lt;=_xlfn.PERCENTILE.INC($B$2:$B$246,0.4),4,
B220&lt;=_xlfn.PERCENTILE.INC($B$2:$B$246,0.6),3,
B220&lt;=_xlfn.PERCENTILE.INC($B$2:$B$246,0.8),2,
TRUE,1
)</f>
        <v>5</v>
      </c>
      <c r="F220" cm="1">
        <f t="array" ref="F220">_xlfn.IFS(
C220&gt;=_xlfn.PERCENTILE.INC($C$2:$C$246,0.8),5,
C220&gt;=_xlfn.PERCENTILE.INC($C$2:$C$246,0.6),4,
C220&gt;=_xlfn.PERCENTILE.INC($C$2:$C$246,0.4),3,
C220&gt;=_xlfn.PERCENTILE.INC($C$2:$C$246,0.2),2,
TRUE,1
)</f>
        <v>3</v>
      </c>
      <c r="G220" cm="1">
        <f t="array" ref="G220">_xlfn.IFS(
D220&gt;=_xlfn.PERCENTILE.INC($D$2:$D$246,0.8),5,
D220&gt;=_xlfn.PERCENTILE.INC($D$2:$D$246,0.6),4,
D220&gt;=_xlfn.PERCENTILE.INC($D$2:$D$246,0.4),3,
D220&gt;=_xlfn.PERCENTILE.INC($D$2:$D$246,0.2),2,
TRUE,1
)</f>
        <v>2</v>
      </c>
      <c r="H220">
        <f t="shared" si="3"/>
        <v>10</v>
      </c>
      <c r="I220" t="str" cm="1">
        <f t="array" ref="I220">_xlfn.IFS(H220&gt;=13,"Best Customers",H220&gt;=10,"Loyal Customers",H220&gt;=7,"Potential Loyal Customers",H220&gt;=4,"Need Attention",TRUE,"At Risk")</f>
        <v>Loyal Customers</v>
      </c>
    </row>
    <row r="221" spans="1:9" x14ac:dyDescent="0.25">
      <c r="A221" t="s">
        <v>6</v>
      </c>
      <c r="B221" s="5">
        <v>598</v>
      </c>
      <c r="C221" s="5">
        <v>3</v>
      </c>
      <c r="D221" s="2">
        <v>23398.639999999999</v>
      </c>
      <c r="E221" cm="1">
        <f t="array" ref="E221">_xlfn.IFS(
B221&lt;=_xlfn.PERCENTILE.INC($B$2:$B$246,0.2),5,
B221&lt;=_xlfn.PERCENTILE.INC($B$2:$B$246,0.4),4,
B221&lt;=_xlfn.PERCENTILE.INC($B$2:$B$246,0.6),3,
B221&lt;=_xlfn.PERCENTILE.INC($B$2:$B$246,0.8),2,
TRUE,1
)</f>
        <v>1</v>
      </c>
      <c r="F221" cm="1">
        <f t="array" ref="F221">_xlfn.IFS(
C221&gt;=_xlfn.PERCENTILE.INC($C$2:$C$246,0.8),5,
C221&gt;=_xlfn.PERCENTILE.INC($C$2:$C$246,0.6),4,
C221&gt;=_xlfn.PERCENTILE.INC($C$2:$C$246,0.4),3,
C221&gt;=_xlfn.PERCENTILE.INC($C$2:$C$246,0.2),2,
TRUE,1
)</f>
        <v>3</v>
      </c>
      <c r="G221" cm="1">
        <f t="array" ref="G221">_xlfn.IFS(
D221&gt;=_xlfn.PERCENTILE.INC($D$2:$D$246,0.8),5,
D221&gt;=_xlfn.PERCENTILE.INC($D$2:$D$246,0.6),4,
D221&gt;=_xlfn.PERCENTILE.INC($D$2:$D$246,0.4),3,
D221&gt;=_xlfn.PERCENTILE.INC($D$2:$D$246,0.2),2,
TRUE,1
)</f>
        <v>4</v>
      </c>
      <c r="H221">
        <f t="shared" si="3"/>
        <v>8</v>
      </c>
      <c r="I221" t="str" cm="1">
        <f t="array" ref="I221">_xlfn.IFS(H221&gt;=13,"Best Customers",H221&gt;=10,"Loyal Customers",H221&gt;=7,"Potential Loyal Customers",H221&gt;=4,"Need Attention",TRUE,"At Risk")</f>
        <v>Potential Loyal Customers</v>
      </c>
    </row>
    <row r="222" spans="1:9" x14ac:dyDescent="0.25">
      <c r="A222" t="s">
        <v>120</v>
      </c>
      <c r="B222" s="5">
        <v>46</v>
      </c>
      <c r="C222" s="5">
        <v>5</v>
      </c>
      <c r="D222" s="2">
        <v>16061.640000000001</v>
      </c>
      <c r="E222" cm="1">
        <f t="array" ref="E222">_xlfn.IFS(
B222&lt;=_xlfn.PERCENTILE.INC($B$2:$B$246,0.2),5,
B222&lt;=_xlfn.PERCENTILE.INC($B$2:$B$246,0.4),4,
B222&lt;=_xlfn.PERCENTILE.INC($B$2:$B$246,0.6),3,
B222&lt;=_xlfn.PERCENTILE.INC($B$2:$B$246,0.8),2,
TRUE,1
)</f>
        <v>4</v>
      </c>
      <c r="F222" cm="1">
        <f t="array" ref="F222">_xlfn.IFS(
C222&gt;=_xlfn.PERCENTILE.INC($C$2:$C$246,0.8),5,
C222&gt;=_xlfn.PERCENTILE.INC($C$2:$C$246,0.6),4,
C222&gt;=_xlfn.PERCENTILE.INC($C$2:$C$246,0.4),3,
C222&gt;=_xlfn.PERCENTILE.INC($C$2:$C$246,0.2),2,
TRUE,1
)</f>
        <v>4</v>
      </c>
      <c r="G222" cm="1">
        <f t="array" ref="G222">_xlfn.IFS(
D222&gt;=_xlfn.PERCENTILE.INC($D$2:$D$246,0.8),5,
D222&gt;=_xlfn.PERCENTILE.INC($D$2:$D$246,0.6),4,
D222&gt;=_xlfn.PERCENTILE.INC($D$2:$D$246,0.4),3,
D222&gt;=_xlfn.PERCENTILE.INC($D$2:$D$246,0.2),2,
TRUE,1
)</f>
        <v>2</v>
      </c>
      <c r="H222">
        <f t="shared" si="3"/>
        <v>10</v>
      </c>
      <c r="I222" t="str" cm="1">
        <f t="array" ref="I222">_xlfn.IFS(H222&gt;=13,"Best Customers",H222&gt;=10,"Loyal Customers",H222&gt;=7,"Potential Loyal Customers",H222&gt;=4,"Need Attention",TRUE,"At Risk")</f>
        <v>Loyal Customers</v>
      </c>
    </row>
    <row r="223" spans="1:9" x14ac:dyDescent="0.25">
      <c r="A223" t="s">
        <v>100</v>
      </c>
      <c r="B223" s="5">
        <v>113</v>
      </c>
      <c r="C223" s="5">
        <v>5</v>
      </c>
      <c r="D223" s="2">
        <v>16810.55</v>
      </c>
      <c r="E223" cm="1">
        <f t="array" ref="E223">_xlfn.IFS(
B223&lt;=_xlfn.PERCENTILE.INC($B$2:$B$246,0.2),5,
B223&lt;=_xlfn.PERCENTILE.INC($B$2:$B$246,0.4),4,
B223&lt;=_xlfn.PERCENTILE.INC($B$2:$B$246,0.6),3,
B223&lt;=_xlfn.PERCENTILE.INC($B$2:$B$246,0.8),2,
TRUE,1
)</f>
        <v>3</v>
      </c>
      <c r="F223" cm="1">
        <f t="array" ref="F223">_xlfn.IFS(
C223&gt;=_xlfn.PERCENTILE.INC($C$2:$C$246,0.8),5,
C223&gt;=_xlfn.PERCENTILE.INC($C$2:$C$246,0.6),4,
C223&gt;=_xlfn.PERCENTILE.INC($C$2:$C$246,0.4),3,
C223&gt;=_xlfn.PERCENTILE.INC($C$2:$C$246,0.2),2,
TRUE,1
)</f>
        <v>4</v>
      </c>
      <c r="G223" cm="1">
        <f t="array" ref="G223">_xlfn.IFS(
D223&gt;=_xlfn.PERCENTILE.INC($D$2:$D$246,0.8),5,
D223&gt;=_xlfn.PERCENTILE.INC($D$2:$D$246,0.6),4,
D223&gt;=_xlfn.PERCENTILE.INC($D$2:$D$246,0.4),3,
D223&gt;=_xlfn.PERCENTILE.INC($D$2:$D$246,0.2),2,
TRUE,1
)</f>
        <v>3</v>
      </c>
      <c r="H223">
        <f t="shared" si="3"/>
        <v>10</v>
      </c>
      <c r="I223" t="str" cm="1">
        <f t="array" ref="I223">_xlfn.IFS(H223&gt;=13,"Best Customers",H223&gt;=10,"Loyal Customers",H223&gt;=7,"Potential Loyal Customers",H223&gt;=4,"Need Attention",TRUE,"At Risk")</f>
        <v>Loyal Customers</v>
      </c>
    </row>
    <row r="224" spans="1:9" x14ac:dyDescent="0.25">
      <c r="A224" t="s">
        <v>690</v>
      </c>
      <c r="B224" s="5">
        <v>528</v>
      </c>
      <c r="C224" s="5">
        <v>2</v>
      </c>
      <c r="D224" s="2">
        <v>15648.539999999999</v>
      </c>
      <c r="E224" cm="1">
        <f t="array" ref="E224">_xlfn.IFS(
B224&lt;=_xlfn.PERCENTILE.INC($B$2:$B$246,0.2),5,
B224&lt;=_xlfn.PERCENTILE.INC($B$2:$B$246,0.4),4,
B224&lt;=_xlfn.PERCENTILE.INC($B$2:$B$246,0.6),3,
B224&lt;=_xlfn.PERCENTILE.INC($B$2:$B$246,0.8),2,
TRUE,1
)</f>
        <v>1</v>
      </c>
      <c r="F224" cm="1">
        <f t="array" ref="F224">_xlfn.IFS(
C224&gt;=_xlfn.PERCENTILE.INC($C$2:$C$246,0.8),5,
C224&gt;=_xlfn.PERCENTILE.INC($C$2:$C$246,0.6),4,
C224&gt;=_xlfn.PERCENTILE.INC($C$2:$C$246,0.4),3,
C224&gt;=_xlfn.PERCENTILE.INC($C$2:$C$246,0.2),2,
TRUE,1
)</f>
        <v>2</v>
      </c>
      <c r="G224" cm="1">
        <f t="array" ref="G224">_xlfn.IFS(
D224&gt;=_xlfn.PERCENTILE.INC($D$2:$D$246,0.8),5,
D224&gt;=_xlfn.PERCENTILE.INC($D$2:$D$246,0.6),4,
D224&gt;=_xlfn.PERCENTILE.INC($D$2:$D$246,0.4),3,
D224&gt;=_xlfn.PERCENTILE.INC($D$2:$D$246,0.2),2,
TRUE,1
)</f>
        <v>2</v>
      </c>
      <c r="H224">
        <f t="shared" si="3"/>
        <v>5</v>
      </c>
      <c r="I224" t="str" cm="1">
        <f t="array" ref="I224">_xlfn.IFS(H224&gt;=13,"Best Customers",H224&gt;=10,"Loyal Customers",H224&gt;=7,"Potential Loyal Customers",H224&gt;=4,"Need Attention",TRUE,"At Risk")</f>
        <v>Need Attention</v>
      </c>
    </row>
    <row r="225" spans="1:9" x14ac:dyDescent="0.25">
      <c r="A225" t="s">
        <v>434</v>
      </c>
      <c r="B225" s="5">
        <v>59</v>
      </c>
      <c r="C225" s="5">
        <v>6</v>
      </c>
      <c r="D225" s="2">
        <v>28977.22</v>
      </c>
      <c r="E225" cm="1">
        <f t="array" ref="E225">_xlfn.IFS(
B225&lt;=_xlfn.PERCENTILE.INC($B$2:$B$246,0.2),5,
B225&lt;=_xlfn.PERCENTILE.INC($B$2:$B$246,0.4),4,
B225&lt;=_xlfn.PERCENTILE.INC($B$2:$B$246,0.6),3,
B225&lt;=_xlfn.PERCENTILE.INC($B$2:$B$246,0.8),2,
TRUE,1
)</f>
        <v>4</v>
      </c>
      <c r="F225" cm="1">
        <f t="array" ref="F225">_xlfn.IFS(
C225&gt;=_xlfn.PERCENTILE.INC($C$2:$C$246,0.8),5,
C225&gt;=_xlfn.PERCENTILE.INC($C$2:$C$246,0.6),4,
C225&gt;=_xlfn.PERCENTILE.INC($C$2:$C$246,0.4),3,
C225&gt;=_xlfn.PERCENTILE.INC($C$2:$C$246,0.2),2,
TRUE,1
)</f>
        <v>5</v>
      </c>
      <c r="G225" cm="1">
        <f t="array" ref="G225">_xlfn.IFS(
D225&gt;=_xlfn.PERCENTILE.INC($D$2:$D$246,0.8),5,
D225&gt;=_xlfn.PERCENTILE.INC($D$2:$D$246,0.6),4,
D225&gt;=_xlfn.PERCENTILE.INC($D$2:$D$246,0.4),3,
D225&gt;=_xlfn.PERCENTILE.INC($D$2:$D$246,0.2),2,
TRUE,1
)</f>
        <v>5</v>
      </c>
      <c r="H225">
        <f t="shared" si="3"/>
        <v>14</v>
      </c>
      <c r="I225" t="str" cm="1">
        <f t="array" ref="I225">_xlfn.IFS(H225&gt;=13,"Best Customers",H225&gt;=10,"Loyal Customers",H225&gt;=7,"Potential Loyal Customers",H225&gt;=4,"Need Attention",TRUE,"At Risk")</f>
        <v>Best Customers</v>
      </c>
    </row>
    <row r="226" spans="1:9" x14ac:dyDescent="0.25">
      <c r="A226" t="s">
        <v>244</v>
      </c>
      <c r="B226" s="5">
        <v>24</v>
      </c>
      <c r="C226" s="5">
        <v>6</v>
      </c>
      <c r="D226" s="2">
        <v>26388.960000000003</v>
      </c>
      <c r="E226" cm="1">
        <f t="array" ref="E226">_xlfn.IFS(
B226&lt;=_xlfn.PERCENTILE.INC($B$2:$B$246,0.2),5,
B226&lt;=_xlfn.PERCENTILE.INC($B$2:$B$246,0.4),4,
B226&lt;=_xlfn.PERCENTILE.INC($B$2:$B$246,0.6),3,
B226&lt;=_xlfn.PERCENTILE.INC($B$2:$B$246,0.8),2,
TRUE,1
)</f>
        <v>5</v>
      </c>
      <c r="F226" cm="1">
        <f t="array" ref="F226">_xlfn.IFS(
C226&gt;=_xlfn.PERCENTILE.INC($C$2:$C$246,0.8),5,
C226&gt;=_xlfn.PERCENTILE.INC($C$2:$C$246,0.6),4,
C226&gt;=_xlfn.PERCENTILE.INC($C$2:$C$246,0.4),3,
C226&gt;=_xlfn.PERCENTILE.INC($C$2:$C$246,0.2),2,
TRUE,1
)</f>
        <v>5</v>
      </c>
      <c r="G226" cm="1">
        <f t="array" ref="G226">_xlfn.IFS(
D226&gt;=_xlfn.PERCENTILE.INC($D$2:$D$246,0.8),5,
D226&gt;=_xlfn.PERCENTILE.INC($D$2:$D$246,0.6),4,
D226&gt;=_xlfn.PERCENTILE.INC($D$2:$D$246,0.4),3,
D226&gt;=_xlfn.PERCENTILE.INC($D$2:$D$246,0.2),2,
TRUE,1
)</f>
        <v>4</v>
      </c>
      <c r="H226">
        <f t="shared" si="3"/>
        <v>14</v>
      </c>
      <c r="I226" t="str" cm="1">
        <f t="array" ref="I226">_xlfn.IFS(H226&gt;=13,"Best Customers",H226&gt;=10,"Loyal Customers",H226&gt;=7,"Potential Loyal Customers",H226&gt;=4,"Need Attention",TRUE,"At Risk")</f>
        <v>Best Customers</v>
      </c>
    </row>
    <row r="227" spans="1:9" x14ac:dyDescent="0.25">
      <c r="A227" t="s">
        <v>83</v>
      </c>
      <c r="B227" s="5">
        <v>76</v>
      </c>
      <c r="C227" s="5">
        <v>4</v>
      </c>
      <c r="D227" s="2">
        <v>25201.780000000002</v>
      </c>
      <c r="E227" cm="1">
        <f t="array" ref="E227">_xlfn.IFS(
B227&lt;=_xlfn.PERCENTILE.INC($B$2:$B$246,0.2),5,
B227&lt;=_xlfn.PERCENTILE.INC($B$2:$B$246,0.4),4,
B227&lt;=_xlfn.PERCENTILE.INC($B$2:$B$246,0.6),3,
B227&lt;=_xlfn.PERCENTILE.INC($B$2:$B$246,0.8),2,
TRUE,1
)</f>
        <v>4</v>
      </c>
      <c r="F227" cm="1">
        <f t="array" ref="F227">_xlfn.IFS(
C227&gt;=_xlfn.PERCENTILE.INC($C$2:$C$246,0.8),5,
C227&gt;=_xlfn.PERCENTILE.INC($C$2:$C$246,0.6),4,
C227&gt;=_xlfn.PERCENTILE.INC($C$2:$C$246,0.4),3,
C227&gt;=_xlfn.PERCENTILE.INC($C$2:$C$246,0.2),2,
TRUE,1
)</f>
        <v>3</v>
      </c>
      <c r="G227" cm="1">
        <f t="array" ref="G227">_xlfn.IFS(
D227&gt;=_xlfn.PERCENTILE.INC($D$2:$D$246,0.8),5,
D227&gt;=_xlfn.PERCENTILE.INC($D$2:$D$246,0.6),4,
D227&gt;=_xlfn.PERCENTILE.INC($D$2:$D$246,0.4),3,
D227&gt;=_xlfn.PERCENTILE.INC($D$2:$D$246,0.2),2,
TRUE,1
)</f>
        <v>4</v>
      </c>
      <c r="H227">
        <f t="shared" si="3"/>
        <v>11</v>
      </c>
      <c r="I227" t="str" cm="1">
        <f t="array" ref="I227">_xlfn.IFS(H227&gt;=13,"Best Customers",H227&gt;=10,"Loyal Customers",H227&gt;=7,"Potential Loyal Customers",H227&gt;=4,"Need Attention",TRUE,"At Risk")</f>
        <v>Loyal Customers</v>
      </c>
    </row>
    <row r="228" spans="1:9" x14ac:dyDescent="0.25">
      <c r="A228" t="s">
        <v>262</v>
      </c>
      <c r="B228" s="5">
        <v>336</v>
      </c>
      <c r="C228" s="5">
        <v>1</v>
      </c>
      <c r="D228" s="2">
        <v>8482.31</v>
      </c>
      <c r="E228" cm="1">
        <f t="array" ref="E228">_xlfn.IFS(
B228&lt;=_xlfn.PERCENTILE.INC($B$2:$B$246,0.2),5,
B228&lt;=_xlfn.PERCENTILE.INC($B$2:$B$246,0.4),4,
B228&lt;=_xlfn.PERCENTILE.INC($B$2:$B$246,0.6),3,
B228&lt;=_xlfn.PERCENTILE.INC($B$2:$B$246,0.8),2,
TRUE,1
)</f>
        <v>1</v>
      </c>
      <c r="F228" cm="1">
        <f t="array" ref="F228">_xlfn.IFS(
C228&gt;=_xlfn.PERCENTILE.INC($C$2:$C$246,0.8),5,
C228&gt;=_xlfn.PERCENTILE.INC($C$2:$C$246,0.6),4,
C228&gt;=_xlfn.PERCENTILE.INC($C$2:$C$246,0.4),3,
C228&gt;=_xlfn.PERCENTILE.INC($C$2:$C$246,0.2),2,
TRUE,1
)</f>
        <v>1</v>
      </c>
      <c r="G228" cm="1">
        <f t="array" ref="G228">_xlfn.IFS(
D228&gt;=_xlfn.PERCENTILE.INC($D$2:$D$246,0.8),5,
D228&gt;=_xlfn.PERCENTILE.INC($D$2:$D$246,0.6),4,
D228&gt;=_xlfn.PERCENTILE.INC($D$2:$D$246,0.4),3,
D228&gt;=_xlfn.PERCENTILE.INC($D$2:$D$246,0.2),2,
TRUE,1
)</f>
        <v>1</v>
      </c>
      <c r="H228">
        <f t="shared" si="3"/>
        <v>3</v>
      </c>
      <c r="I228" t="str" cm="1">
        <f t="array" ref="I228">_xlfn.IFS(H228&gt;=13,"Best Customers",H228&gt;=10,"Loyal Customers",H228&gt;=7,"Potential Loyal Customers",H228&gt;=4,"Need Attention",TRUE,"At Risk")</f>
        <v>At Risk</v>
      </c>
    </row>
    <row r="229" spans="1:9" x14ac:dyDescent="0.25">
      <c r="A229" t="s">
        <v>226</v>
      </c>
      <c r="B229" s="5">
        <v>16</v>
      </c>
      <c r="C229" s="5">
        <v>3</v>
      </c>
      <c r="D229" s="2">
        <v>18351.59</v>
      </c>
      <c r="E229" cm="1">
        <f t="array" ref="E229">_xlfn.IFS(
B229&lt;=_xlfn.PERCENTILE.INC($B$2:$B$246,0.2),5,
B229&lt;=_xlfn.PERCENTILE.INC($B$2:$B$246,0.4),4,
B229&lt;=_xlfn.PERCENTILE.INC($B$2:$B$246,0.6),3,
B229&lt;=_xlfn.PERCENTILE.INC($B$2:$B$246,0.8),2,
TRUE,1
)</f>
        <v>5</v>
      </c>
      <c r="F229" cm="1">
        <f t="array" ref="F229">_xlfn.IFS(
C229&gt;=_xlfn.PERCENTILE.INC($C$2:$C$246,0.8),5,
C229&gt;=_xlfn.PERCENTILE.INC($C$2:$C$246,0.6),4,
C229&gt;=_xlfn.PERCENTILE.INC($C$2:$C$246,0.4),3,
C229&gt;=_xlfn.PERCENTILE.INC($C$2:$C$246,0.2),2,
TRUE,1
)</f>
        <v>3</v>
      </c>
      <c r="G229" cm="1">
        <f t="array" ref="G229">_xlfn.IFS(
D229&gt;=_xlfn.PERCENTILE.INC($D$2:$D$246,0.8),5,
D229&gt;=_xlfn.PERCENTILE.INC($D$2:$D$246,0.6),4,
D229&gt;=_xlfn.PERCENTILE.INC($D$2:$D$246,0.4),3,
D229&gt;=_xlfn.PERCENTILE.INC($D$2:$D$246,0.2),2,
TRUE,1
)</f>
        <v>3</v>
      </c>
      <c r="H229">
        <f t="shared" si="3"/>
        <v>11</v>
      </c>
      <c r="I229" t="str" cm="1">
        <f t="array" ref="I229">_xlfn.IFS(H229&gt;=13,"Best Customers",H229&gt;=10,"Loyal Customers",H229&gt;=7,"Potential Loyal Customers",H229&gt;=4,"Need Attention",TRUE,"At Risk")</f>
        <v>Loyal Customers</v>
      </c>
    </row>
    <row r="230" spans="1:9" x14ac:dyDescent="0.25">
      <c r="A230" t="s">
        <v>22</v>
      </c>
      <c r="B230" s="5">
        <v>138</v>
      </c>
      <c r="C230" s="5">
        <v>5</v>
      </c>
      <c r="D230" s="2">
        <v>29088.559999999998</v>
      </c>
      <c r="E230" cm="1">
        <f t="array" ref="E230">_xlfn.IFS(
B230&lt;=_xlfn.PERCENTILE.INC($B$2:$B$246,0.2),5,
B230&lt;=_xlfn.PERCENTILE.INC($B$2:$B$246,0.4),4,
B230&lt;=_xlfn.PERCENTILE.INC($B$2:$B$246,0.6),3,
B230&lt;=_xlfn.PERCENTILE.INC($B$2:$B$246,0.8),2,
TRUE,1
)</f>
        <v>3</v>
      </c>
      <c r="F230" cm="1">
        <f t="array" ref="F230">_xlfn.IFS(
C230&gt;=_xlfn.PERCENTILE.INC($C$2:$C$246,0.8),5,
C230&gt;=_xlfn.PERCENTILE.INC($C$2:$C$246,0.6),4,
C230&gt;=_xlfn.PERCENTILE.INC($C$2:$C$246,0.4),3,
C230&gt;=_xlfn.PERCENTILE.INC($C$2:$C$246,0.2),2,
TRUE,1
)</f>
        <v>4</v>
      </c>
      <c r="G230" cm="1">
        <f t="array" ref="G230">_xlfn.IFS(
D230&gt;=_xlfn.PERCENTILE.INC($D$2:$D$246,0.8),5,
D230&gt;=_xlfn.PERCENTILE.INC($D$2:$D$246,0.6),4,
D230&gt;=_xlfn.PERCENTILE.INC($D$2:$D$246,0.4),3,
D230&gt;=_xlfn.PERCENTILE.INC($D$2:$D$246,0.2),2,
TRUE,1
)</f>
        <v>5</v>
      </c>
      <c r="H230">
        <f t="shared" si="3"/>
        <v>12</v>
      </c>
      <c r="I230" t="str" cm="1">
        <f t="array" ref="I230">_xlfn.IFS(H230&gt;=13,"Best Customers",H230&gt;=10,"Loyal Customers",H230&gt;=7,"Potential Loyal Customers",H230&gt;=4,"Need Attention",TRUE,"At Risk")</f>
        <v>Loyal Customers</v>
      </c>
    </row>
    <row r="231" spans="1:9" x14ac:dyDescent="0.25">
      <c r="A231" t="s">
        <v>1053</v>
      </c>
      <c r="B231" s="5">
        <v>138</v>
      </c>
      <c r="C231" s="5">
        <v>2</v>
      </c>
      <c r="D231" s="2">
        <v>10438.509999999998</v>
      </c>
      <c r="E231" cm="1">
        <f t="array" ref="E231">_xlfn.IFS(
B231&lt;=_xlfn.PERCENTILE.INC($B$2:$B$246,0.2),5,
B231&lt;=_xlfn.PERCENTILE.INC($B$2:$B$246,0.4),4,
B231&lt;=_xlfn.PERCENTILE.INC($B$2:$B$246,0.6),3,
B231&lt;=_xlfn.PERCENTILE.INC($B$2:$B$246,0.8),2,
TRUE,1
)</f>
        <v>3</v>
      </c>
      <c r="F231" cm="1">
        <f t="array" ref="F231">_xlfn.IFS(
C231&gt;=_xlfn.PERCENTILE.INC($C$2:$C$246,0.8),5,
C231&gt;=_xlfn.PERCENTILE.INC($C$2:$C$246,0.6),4,
C231&gt;=_xlfn.PERCENTILE.INC($C$2:$C$246,0.4),3,
C231&gt;=_xlfn.PERCENTILE.INC($C$2:$C$246,0.2),2,
TRUE,1
)</f>
        <v>2</v>
      </c>
      <c r="G231" cm="1">
        <f t="array" ref="G231">_xlfn.IFS(
D231&gt;=_xlfn.PERCENTILE.INC($D$2:$D$246,0.8),5,
D231&gt;=_xlfn.PERCENTILE.INC($D$2:$D$246,0.6),4,
D231&gt;=_xlfn.PERCENTILE.INC($D$2:$D$246,0.4),3,
D231&gt;=_xlfn.PERCENTILE.INC($D$2:$D$246,0.2),2,
TRUE,1
)</f>
        <v>2</v>
      </c>
      <c r="H231">
        <f t="shared" si="3"/>
        <v>7</v>
      </c>
      <c r="I231" t="str" cm="1">
        <f t="array" ref="I231">_xlfn.IFS(H231&gt;=13,"Best Customers",H231&gt;=10,"Loyal Customers",H231&gt;=7,"Potential Loyal Customers",H231&gt;=4,"Need Attention",TRUE,"At Risk")</f>
        <v>Potential Loyal Customers</v>
      </c>
    </row>
    <row r="232" spans="1:9" x14ac:dyDescent="0.25">
      <c r="A232" t="s">
        <v>85</v>
      </c>
      <c r="B232" s="5">
        <v>16</v>
      </c>
      <c r="C232" s="5">
        <v>7</v>
      </c>
      <c r="D232" s="2">
        <v>18588.32</v>
      </c>
      <c r="E232" cm="1">
        <f t="array" ref="E232">_xlfn.IFS(
B232&lt;=_xlfn.PERCENTILE.INC($B$2:$B$246,0.2),5,
B232&lt;=_xlfn.PERCENTILE.INC($B$2:$B$246,0.4),4,
B232&lt;=_xlfn.PERCENTILE.INC($B$2:$B$246,0.6),3,
B232&lt;=_xlfn.PERCENTILE.INC($B$2:$B$246,0.8),2,
TRUE,1
)</f>
        <v>5</v>
      </c>
      <c r="F232" cm="1">
        <f t="array" ref="F232">_xlfn.IFS(
C232&gt;=_xlfn.PERCENTILE.INC($C$2:$C$246,0.8),5,
C232&gt;=_xlfn.PERCENTILE.INC($C$2:$C$246,0.6),4,
C232&gt;=_xlfn.PERCENTILE.INC($C$2:$C$246,0.4),3,
C232&gt;=_xlfn.PERCENTILE.INC($C$2:$C$246,0.2),2,
TRUE,1
)</f>
        <v>5</v>
      </c>
      <c r="G232" cm="1">
        <f t="array" ref="G232">_xlfn.IFS(
D232&gt;=_xlfn.PERCENTILE.INC($D$2:$D$246,0.8),5,
D232&gt;=_xlfn.PERCENTILE.INC($D$2:$D$246,0.6),4,
D232&gt;=_xlfn.PERCENTILE.INC($D$2:$D$246,0.4),3,
D232&gt;=_xlfn.PERCENTILE.INC($D$2:$D$246,0.2),2,
TRUE,1
)</f>
        <v>3</v>
      </c>
      <c r="H232">
        <f t="shared" si="3"/>
        <v>13</v>
      </c>
      <c r="I232" t="str" cm="1">
        <f t="array" ref="I232">_xlfn.IFS(H232&gt;=13,"Best Customers",H232&gt;=10,"Loyal Customers",H232&gt;=7,"Potential Loyal Customers",H232&gt;=4,"Need Attention",TRUE,"At Risk")</f>
        <v>Best Customers</v>
      </c>
    </row>
    <row r="233" spans="1:9" x14ac:dyDescent="0.25">
      <c r="A233" t="s">
        <v>133</v>
      </c>
      <c r="B233" s="5">
        <v>33</v>
      </c>
      <c r="C233" s="5">
        <v>4</v>
      </c>
      <c r="D233" s="2">
        <v>11369.619999999999</v>
      </c>
      <c r="E233" cm="1">
        <f t="array" ref="E233">_xlfn.IFS(
B233&lt;=_xlfn.PERCENTILE.INC($B$2:$B$246,0.2),5,
B233&lt;=_xlfn.PERCENTILE.INC($B$2:$B$246,0.4),4,
B233&lt;=_xlfn.PERCENTILE.INC($B$2:$B$246,0.6),3,
B233&lt;=_xlfn.PERCENTILE.INC($B$2:$B$246,0.8),2,
TRUE,1
)</f>
        <v>5</v>
      </c>
      <c r="F233" cm="1">
        <f t="array" ref="F233">_xlfn.IFS(
C233&gt;=_xlfn.PERCENTILE.INC($C$2:$C$246,0.8),5,
C233&gt;=_xlfn.PERCENTILE.INC($C$2:$C$246,0.6),4,
C233&gt;=_xlfn.PERCENTILE.INC($C$2:$C$246,0.4),3,
C233&gt;=_xlfn.PERCENTILE.INC($C$2:$C$246,0.2),2,
TRUE,1
)</f>
        <v>3</v>
      </c>
      <c r="G233" cm="1">
        <f t="array" ref="G233">_xlfn.IFS(
D233&gt;=_xlfn.PERCENTILE.INC($D$2:$D$246,0.8),5,
D233&gt;=_xlfn.PERCENTILE.INC($D$2:$D$246,0.6),4,
D233&gt;=_xlfn.PERCENTILE.INC($D$2:$D$246,0.4),3,
D233&gt;=_xlfn.PERCENTILE.INC($D$2:$D$246,0.2),2,
TRUE,1
)</f>
        <v>2</v>
      </c>
      <c r="H233">
        <f t="shared" si="3"/>
        <v>10</v>
      </c>
      <c r="I233" t="str" cm="1">
        <f t="array" ref="I233">_xlfn.IFS(H233&gt;=13,"Best Customers",H233&gt;=10,"Loyal Customers",H233&gt;=7,"Potential Loyal Customers",H233&gt;=4,"Need Attention",TRUE,"At Risk")</f>
        <v>Loyal Customers</v>
      </c>
    </row>
    <row r="234" spans="1:9" x14ac:dyDescent="0.25">
      <c r="A234" t="s">
        <v>303</v>
      </c>
      <c r="B234" s="5">
        <v>172</v>
      </c>
      <c r="C234" s="5">
        <v>4</v>
      </c>
      <c r="D234" s="2">
        <v>23850.1</v>
      </c>
      <c r="E234" cm="1">
        <f t="array" ref="E234">_xlfn.IFS(
B234&lt;=_xlfn.PERCENTILE.INC($B$2:$B$246,0.2),5,
B234&lt;=_xlfn.PERCENTILE.INC($B$2:$B$246,0.4),4,
B234&lt;=_xlfn.PERCENTILE.INC($B$2:$B$246,0.6),3,
B234&lt;=_xlfn.PERCENTILE.INC($B$2:$B$246,0.8),2,
TRUE,1
)</f>
        <v>3</v>
      </c>
      <c r="F234" cm="1">
        <f t="array" ref="F234">_xlfn.IFS(
C234&gt;=_xlfn.PERCENTILE.INC($C$2:$C$246,0.8),5,
C234&gt;=_xlfn.PERCENTILE.INC($C$2:$C$246,0.6),4,
C234&gt;=_xlfn.PERCENTILE.INC($C$2:$C$246,0.4),3,
C234&gt;=_xlfn.PERCENTILE.INC($C$2:$C$246,0.2),2,
TRUE,1
)</f>
        <v>3</v>
      </c>
      <c r="G234" cm="1">
        <f t="array" ref="G234">_xlfn.IFS(
D234&gt;=_xlfn.PERCENTILE.INC($D$2:$D$246,0.8),5,
D234&gt;=_xlfn.PERCENTILE.INC($D$2:$D$246,0.6),4,
D234&gt;=_xlfn.PERCENTILE.INC($D$2:$D$246,0.4),3,
D234&gt;=_xlfn.PERCENTILE.INC($D$2:$D$246,0.2),2,
TRUE,1
)</f>
        <v>4</v>
      </c>
      <c r="H234">
        <f t="shared" si="3"/>
        <v>10</v>
      </c>
      <c r="I234" t="str" cm="1">
        <f t="array" ref="I234">_xlfn.IFS(H234&gt;=13,"Best Customers",H234&gt;=10,"Loyal Customers",H234&gt;=7,"Potential Loyal Customers",H234&gt;=4,"Need Attention",TRUE,"At Risk")</f>
        <v>Loyal Customers</v>
      </c>
    </row>
    <row r="235" spans="1:9" x14ac:dyDescent="0.25">
      <c r="A235" t="s">
        <v>716</v>
      </c>
      <c r="B235" s="5">
        <v>40</v>
      </c>
      <c r="C235" s="5">
        <v>4</v>
      </c>
      <c r="D235" s="2">
        <v>20577.250000000004</v>
      </c>
      <c r="E235" cm="1">
        <f t="array" ref="E235">_xlfn.IFS(
B235&lt;=_xlfn.PERCENTILE.INC($B$2:$B$246,0.2),5,
B235&lt;=_xlfn.PERCENTILE.INC($B$2:$B$246,0.4),4,
B235&lt;=_xlfn.PERCENTILE.INC($B$2:$B$246,0.6),3,
B235&lt;=_xlfn.PERCENTILE.INC($B$2:$B$246,0.8),2,
TRUE,1
)</f>
        <v>5</v>
      </c>
      <c r="F235" cm="1">
        <f t="array" ref="F235">_xlfn.IFS(
C235&gt;=_xlfn.PERCENTILE.INC($C$2:$C$246,0.8),5,
C235&gt;=_xlfn.PERCENTILE.INC($C$2:$C$246,0.6),4,
C235&gt;=_xlfn.PERCENTILE.INC($C$2:$C$246,0.4),3,
C235&gt;=_xlfn.PERCENTILE.INC($C$2:$C$246,0.2),2,
TRUE,1
)</f>
        <v>3</v>
      </c>
      <c r="G235" cm="1">
        <f t="array" ref="G235">_xlfn.IFS(
D235&gt;=_xlfn.PERCENTILE.INC($D$2:$D$246,0.8),5,
D235&gt;=_xlfn.PERCENTILE.INC($D$2:$D$246,0.6),4,
D235&gt;=_xlfn.PERCENTILE.INC($D$2:$D$246,0.4),3,
D235&gt;=_xlfn.PERCENTILE.INC($D$2:$D$246,0.2),2,
TRUE,1
)</f>
        <v>3</v>
      </c>
      <c r="H235">
        <f t="shared" si="3"/>
        <v>11</v>
      </c>
      <c r="I235" t="str" cm="1">
        <f t="array" ref="I235">_xlfn.IFS(H235&gt;=13,"Best Customers",H235&gt;=10,"Loyal Customers",H235&gt;=7,"Potential Loyal Customers",H235&gt;=4,"Need Attention",TRUE,"At Risk")</f>
        <v>Loyal Customers</v>
      </c>
    </row>
    <row r="236" spans="1:9" x14ac:dyDescent="0.25">
      <c r="A236" t="s">
        <v>152</v>
      </c>
      <c r="B236" s="5">
        <v>32</v>
      </c>
      <c r="C236" s="5">
        <v>5</v>
      </c>
      <c r="D236" s="2">
        <v>23252.33</v>
      </c>
      <c r="E236" cm="1">
        <f t="array" ref="E236">_xlfn.IFS(
B236&lt;=_xlfn.PERCENTILE.INC($B$2:$B$246,0.2),5,
B236&lt;=_xlfn.PERCENTILE.INC($B$2:$B$246,0.4),4,
B236&lt;=_xlfn.PERCENTILE.INC($B$2:$B$246,0.6),3,
B236&lt;=_xlfn.PERCENTILE.INC($B$2:$B$246,0.8),2,
TRUE,1
)</f>
        <v>5</v>
      </c>
      <c r="F236" cm="1">
        <f t="array" ref="F236">_xlfn.IFS(
C236&gt;=_xlfn.PERCENTILE.INC($C$2:$C$246,0.8),5,
C236&gt;=_xlfn.PERCENTILE.INC($C$2:$C$246,0.6),4,
C236&gt;=_xlfn.PERCENTILE.INC($C$2:$C$246,0.4),3,
C236&gt;=_xlfn.PERCENTILE.INC($C$2:$C$246,0.2),2,
TRUE,1
)</f>
        <v>4</v>
      </c>
      <c r="G236" cm="1">
        <f t="array" ref="G236">_xlfn.IFS(
D236&gt;=_xlfn.PERCENTILE.INC($D$2:$D$246,0.8),5,
D236&gt;=_xlfn.PERCENTILE.INC($D$2:$D$246,0.6),4,
D236&gt;=_xlfn.PERCENTILE.INC($D$2:$D$246,0.4),3,
D236&gt;=_xlfn.PERCENTILE.INC($D$2:$D$246,0.2),2,
TRUE,1
)</f>
        <v>4</v>
      </c>
      <c r="H236">
        <f t="shared" si="3"/>
        <v>13</v>
      </c>
      <c r="I236" t="str" cm="1">
        <f t="array" ref="I236">_xlfn.IFS(H236&gt;=13,"Best Customers",H236&gt;=10,"Loyal Customers",H236&gt;=7,"Potential Loyal Customers",H236&gt;=4,"Need Attention",TRUE,"At Risk")</f>
        <v>Best Customers</v>
      </c>
    </row>
    <row r="237" spans="1:9" x14ac:dyDescent="0.25">
      <c r="A237" t="s">
        <v>350</v>
      </c>
      <c r="B237" s="5">
        <v>170</v>
      </c>
      <c r="C237" s="5">
        <v>6</v>
      </c>
      <c r="D237" s="2">
        <v>24303.239999999998</v>
      </c>
      <c r="E237" cm="1">
        <f t="array" ref="E237">_xlfn.IFS(
B237&lt;=_xlfn.PERCENTILE.INC($B$2:$B$246,0.2),5,
B237&lt;=_xlfn.PERCENTILE.INC($B$2:$B$246,0.4),4,
B237&lt;=_xlfn.PERCENTILE.INC($B$2:$B$246,0.6),3,
B237&lt;=_xlfn.PERCENTILE.INC($B$2:$B$246,0.8),2,
TRUE,1
)</f>
        <v>3</v>
      </c>
      <c r="F237" cm="1">
        <f t="array" ref="F237">_xlfn.IFS(
C237&gt;=_xlfn.PERCENTILE.INC($C$2:$C$246,0.8),5,
C237&gt;=_xlfn.PERCENTILE.INC($C$2:$C$246,0.6),4,
C237&gt;=_xlfn.PERCENTILE.INC($C$2:$C$246,0.4),3,
C237&gt;=_xlfn.PERCENTILE.INC($C$2:$C$246,0.2),2,
TRUE,1
)</f>
        <v>5</v>
      </c>
      <c r="G237" cm="1">
        <f t="array" ref="G237">_xlfn.IFS(
D237&gt;=_xlfn.PERCENTILE.INC($D$2:$D$246,0.8),5,
D237&gt;=_xlfn.PERCENTILE.INC($D$2:$D$246,0.6),4,
D237&gt;=_xlfn.PERCENTILE.INC($D$2:$D$246,0.4),3,
D237&gt;=_xlfn.PERCENTILE.INC($D$2:$D$246,0.2),2,
TRUE,1
)</f>
        <v>4</v>
      </c>
      <c r="H237">
        <f t="shared" si="3"/>
        <v>12</v>
      </c>
      <c r="I237" t="str" cm="1">
        <f t="array" ref="I237">_xlfn.IFS(H237&gt;=13,"Best Customers",H237&gt;=10,"Loyal Customers",H237&gt;=7,"Potential Loyal Customers",H237&gt;=4,"Need Attention",TRUE,"At Risk")</f>
        <v>Loyal Customers</v>
      </c>
    </row>
    <row r="238" spans="1:9" x14ac:dyDescent="0.25">
      <c r="A238" t="s">
        <v>124</v>
      </c>
      <c r="B238" s="5">
        <v>43</v>
      </c>
      <c r="C238" s="5">
        <v>5</v>
      </c>
      <c r="D238" s="2">
        <v>21986.25</v>
      </c>
      <c r="E238" cm="1">
        <f t="array" ref="E238">_xlfn.IFS(
B238&lt;=_xlfn.PERCENTILE.INC($B$2:$B$246,0.2),5,
B238&lt;=_xlfn.PERCENTILE.INC($B$2:$B$246,0.4),4,
B238&lt;=_xlfn.PERCENTILE.INC($B$2:$B$246,0.6),3,
B238&lt;=_xlfn.PERCENTILE.INC($B$2:$B$246,0.8),2,
TRUE,1
)</f>
        <v>4</v>
      </c>
      <c r="F238" cm="1">
        <f t="array" ref="F238">_xlfn.IFS(
C238&gt;=_xlfn.PERCENTILE.INC($C$2:$C$246,0.8),5,
C238&gt;=_xlfn.PERCENTILE.INC($C$2:$C$246,0.6),4,
C238&gt;=_xlfn.PERCENTILE.INC($C$2:$C$246,0.4),3,
C238&gt;=_xlfn.PERCENTILE.INC($C$2:$C$246,0.2),2,
TRUE,1
)</f>
        <v>4</v>
      </c>
      <c r="G238" cm="1">
        <f t="array" ref="G238">_xlfn.IFS(
D238&gt;=_xlfn.PERCENTILE.INC($D$2:$D$246,0.8),5,
D238&gt;=_xlfn.PERCENTILE.INC($D$2:$D$246,0.6),4,
D238&gt;=_xlfn.PERCENTILE.INC($D$2:$D$246,0.4),3,
D238&gt;=_xlfn.PERCENTILE.INC($D$2:$D$246,0.2),2,
TRUE,1
)</f>
        <v>3</v>
      </c>
      <c r="H238">
        <f t="shared" si="3"/>
        <v>11</v>
      </c>
      <c r="I238" t="str" cm="1">
        <f t="array" ref="I238">_xlfn.IFS(H238&gt;=13,"Best Customers",H238&gt;=10,"Loyal Customers",H238&gt;=7,"Potential Loyal Customers",H238&gt;=4,"Need Attention",TRUE,"At Risk")</f>
        <v>Loyal Customers</v>
      </c>
    </row>
    <row r="239" spans="1:9" x14ac:dyDescent="0.25">
      <c r="A239" t="s">
        <v>98</v>
      </c>
      <c r="B239" s="5">
        <v>401</v>
      </c>
      <c r="C239" s="5">
        <v>6</v>
      </c>
      <c r="D239" s="2">
        <v>32053.74</v>
      </c>
      <c r="E239" cm="1">
        <f t="array" ref="E239">_xlfn.IFS(
B239&lt;=_xlfn.PERCENTILE.INC($B$2:$B$246,0.2),5,
B239&lt;=_xlfn.PERCENTILE.INC($B$2:$B$246,0.4),4,
B239&lt;=_xlfn.PERCENTILE.INC($B$2:$B$246,0.6),3,
B239&lt;=_xlfn.PERCENTILE.INC($B$2:$B$246,0.8),2,
TRUE,1
)</f>
        <v>1</v>
      </c>
      <c r="F239" cm="1">
        <f t="array" ref="F239">_xlfn.IFS(
C239&gt;=_xlfn.PERCENTILE.INC($C$2:$C$246,0.8),5,
C239&gt;=_xlfn.PERCENTILE.INC($C$2:$C$246,0.6),4,
C239&gt;=_xlfn.PERCENTILE.INC($C$2:$C$246,0.4),3,
C239&gt;=_xlfn.PERCENTILE.INC($C$2:$C$246,0.2),2,
TRUE,1
)</f>
        <v>5</v>
      </c>
      <c r="G239" cm="1">
        <f t="array" ref="G239">_xlfn.IFS(
D239&gt;=_xlfn.PERCENTILE.INC($D$2:$D$246,0.8),5,
D239&gt;=_xlfn.PERCENTILE.INC($D$2:$D$246,0.6),4,
D239&gt;=_xlfn.PERCENTILE.INC($D$2:$D$246,0.4),3,
D239&gt;=_xlfn.PERCENTILE.INC($D$2:$D$246,0.2),2,
TRUE,1
)</f>
        <v>5</v>
      </c>
      <c r="H239">
        <f t="shared" si="3"/>
        <v>11</v>
      </c>
      <c r="I239" t="str" cm="1">
        <f t="array" ref="I239">_xlfn.IFS(H239&gt;=13,"Best Customers",H239&gt;=10,"Loyal Customers",H239&gt;=7,"Potential Loyal Customers",H239&gt;=4,"Need Attention",TRUE,"At Risk")</f>
        <v>Loyal Customers</v>
      </c>
    </row>
    <row r="240" spans="1:9" x14ac:dyDescent="0.25">
      <c r="A240" t="s">
        <v>1097</v>
      </c>
      <c r="B240" s="5">
        <v>517</v>
      </c>
      <c r="C240" s="5">
        <v>2</v>
      </c>
      <c r="D240" s="2">
        <v>2314.02</v>
      </c>
      <c r="E240" cm="1">
        <f t="array" ref="E240">_xlfn.IFS(
B240&lt;=_xlfn.PERCENTILE.INC($B$2:$B$246,0.2),5,
B240&lt;=_xlfn.PERCENTILE.INC($B$2:$B$246,0.4),4,
B240&lt;=_xlfn.PERCENTILE.INC($B$2:$B$246,0.6),3,
B240&lt;=_xlfn.PERCENTILE.INC($B$2:$B$246,0.8),2,
TRUE,1
)</f>
        <v>1</v>
      </c>
      <c r="F240" cm="1">
        <f t="array" ref="F240">_xlfn.IFS(
C240&gt;=_xlfn.PERCENTILE.INC($C$2:$C$246,0.8),5,
C240&gt;=_xlfn.PERCENTILE.INC($C$2:$C$246,0.6),4,
C240&gt;=_xlfn.PERCENTILE.INC($C$2:$C$246,0.4),3,
C240&gt;=_xlfn.PERCENTILE.INC($C$2:$C$246,0.2),2,
TRUE,1
)</f>
        <v>2</v>
      </c>
      <c r="G240" cm="1">
        <f t="array" ref="G240">_xlfn.IFS(
D240&gt;=_xlfn.PERCENTILE.INC($D$2:$D$246,0.8),5,
D240&gt;=_xlfn.PERCENTILE.INC($D$2:$D$246,0.6),4,
D240&gt;=_xlfn.PERCENTILE.INC($D$2:$D$246,0.4),3,
D240&gt;=_xlfn.PERCENTILE.INC($D$2:$D$246,0.2),2,
TRUE,1
)</f>
        <v>1</v>
      </c>
      <c r="H240">
        <f t="shared" si="3"/>
        <v>4</v>
      </c>
      <c r="I240" t="str" cm="1">
        <f t="array" ref="I240">_xlfn.IFS(H240&gt;=13,"Best Customers",H240&gt;=10,"Loyal Customers",H240&gt;=7,"Potential Loyal Customers",H240&gt;=4,"Need Attention",TRUE,"At Risk")</f>
        <v>Need Attention</v>
      </c>
    </row>
    <row r="241" spans="1:9" x14ac:dyDescent="0.25">
      <c r="A241" t="s">
        <v>214</v>
      </c>
      <c r="B241" s="5">
        <v>223</v>
      </c>
      <c r="C241" s="5">
        <v>5</v>
      </c>
      <c r="D241" s="2">
        <v>25924.18</v>
      </c>
      <c r="E241" cm="1">
        <f t="array" ref="E241">_xlfn.IFS(
B241&lt;=_xlfn.PERCENTILE.INC($B$2:$B$246,0.2),5,
B241&lt;=_xlfn.PERCENTILE.INC($B$2:$B$246,0.4),4,
B241&lt;=_xlfn.PERCENTILE.INC($B$2:$B$246,0.6),3,
B241&lt;=_xlfn.PERCENTILE.INC($B$2:$B$246,0.8),2,
TRUE,1
)</f>
        <v>2</v>
      </c>
      <c r="F241" cm="1">
        <f t="array" ref="F241">_xlfn.IFS(
C241&gt;=_xlfn.PERCENTILE.INC($C$2:$C$246,0.8),5,
C241&gt;=_xlfn.PERCENTILE.INC($C$2:$C$246,0.6),4,
C241&gt;=_xlfn.PERCENTILE.INC($C$2:$C$246,0.4),3,
C241&gt;=_xlfn.PERCENTILE.INC($C$2:$C$246,0.2),2,
TRUE,1
)</f>
        <v>4</v>
      </c>
      <c r="G241" cm="1">
        <f t="array" ref="G241">_xlfn.IFS(
D241&gt;=_xlfn.PERCENTILE.INC($D$2:$D$246,0.8),5,
D241&gt;=_xlfn.PERCENTILE.INC($D$2:$D$246,0.6),4,
D241&gt;=_xlfn.PERCENTILE.INC($D$2:$D$246,0.4),3,
D241&gt;=_xlfn.PERCENTILE.INC($D$2:$D$246,0.2),2,
TRUE,1
)</f>
        <v>4</v>
      </c>
      <c r="H241">
        <f t="shared" si="3"/>
        <v>10</v>
      </c>
      <c r="I241" t="str" cm="1">
        <f t="array" ref="I241">_xlfn.IFS(H241&gt;=13,"Best Customers",H241&gt;=10,"Loyal Customers",H241&gt;=7,"Potential Loyal Customers",H241&gt;=4,"Need Attention",TRUE,"At Risk")</f>
        <v>Loyal Customers</v>
      </c>
    </row>
    <row r="242" spans="1:9" x14ac:dyDescent="0.25">
      <c r="A242" t="s">
        <v>90</v>
      </c>
      <c r="B242" s="5">
        <v>43</v>
      </c>
      <c r="C242" s="5">
        <v>3</v>
      </c>
      <c r="D242" s="2">
        <v>13203.72</v>
      </c>
      <c r="E242" cm="1">
        <f t="array" ref="E242">_xlfn.IFS(
B242&lt;=_xlfn.PERCENTILE.INC($B$2:$B$246,0.2),5,
B242&lt;=_xlfn.PERCENTILE.INC($B$2:$B$246,0.4),4,
B242&lt;=_xlfn.PERCENTILE.INC($B$2:$B$246,0.6),3,
B242&lt;=_xlfn.PERCENTILE.INC($B$2:$B$246,0.8),2,
TRUE,1
)</f>
        <v>4</v>
      </c>
      <c r="F242" cm="1">
        <f t="array" ref="F242">_xlfn.IFS(
C242&gt;=_xlfn.PERCENTILE.INC($C$2:$C$246,0.8),5,
C242&gt;=_xlfn.PERCENTILE.INC($C$2:$C$246,0.6),4,
C242&gt;=_xlfn.PERCENTILE.INC($C$2:$C$246,0.4),3,
C242&gt;=_xlfn.PERCENTILE.INC($C$2:$C$246,0.2),2,
TRUE,1
)</f>
        <v>3</v>
      </c>
      <c r="G242" cm="1">
        <f t="array" ref="G242">_xlfn.IFS(
D242&gt;=_xlfn.PERCENTILE.INC($D$2:$D$246,0.8),5,
D242&gt;=_xlfn.PERCENTILE.INC($D$2:$D$246,0.6),4,
D242&gt;=_xlfn.PERCENTILE.INC($D$2:$D$246,0.4),3,
D242&gt;=_xlfn.PERCENTILE.INC($D$2:$D$246,0.2),2,
TRUE,1
)</f>
        <v>2</v>
      </c>
      <c r="H242">
        <f t="shared" si="3"/>
        <v>9</v>
      </c>
      <c r="I242" t="str" cm="1">
        <f t="array" ref="I242">_xlfn.IFS(H242&gt;=13,"Best Customers",H242&gt;=10,"Loyal Customers",H242&gt;=7,"Potential Loyal Customers",H242&gt;=4,"Need Attention",TRUE,"At Risk")</f>
        <v>Potential Loyal Customers</v>
      </c>
    </row>
    <row r="243" spans="1:9" x14ac:dyDescent="0.25">
      <c r="A243" t="s">
        <v>788</v>
      </c>
      <c r="B243" s="5">
        <v>314</v>
      </c>
      <c r="C243" s="5">
        <v>2</v>
      </c>
      <c r="D243" s="2">
        <v>10665.619999999999</v>
      </c>
      <c r="E243" cm="1">
        <f t="array" ref="E243">_xlfn.IFS(
B243&lt;=_xlfn.PERCENTILE.INC($B$2:$B$246,0.2),5,
B243&lt;=_xlfn.PERCENTILE.INC($B$2:$B$246,0.4),4,
B243&lt;=_xlfn.PERCENTILE.INC($B$2:$B$246,0.6),3,
B243&lt;=_xlfn.PERCENTILE.INC($B$2:$B$246,0.8),2,
TRUE,1
)</f>
        <v>1</v>
      </c>
      <c r="F243" cm="1">
        <f t="array" ref="F243">_xlfn.IFS(
C243&gt;=_xlfn.PERCENTILE.INC($C$2:$C$246,0.8),5,
C243&gt;=_xlfn.PERCENTILE.INC($C$2:$C$246,0.6),4,
C243&gt;=_xlfn.PERCENTILE.INC($C$2:$C$246,0.4),3,
C243&gt;=_xlfn.PERCENTILE.INC($C$2:$C$246,0.2),2,
TRUE,1
)</f>
        <v>2</v>
      </c>
      <c r="G243" cm="1">
        <f t="array" ref="G243">_xlfn.IFS(
D243&gt;=_xlfn.PERCENTILE.INC($D$2:$D$246,0.8),5,
D243&gt;=_xlfn.PERCENTILE.INC($D$2:$D$246,0.6),4,
D243&gt;=_xlfn.PERCENTILE.INC($D$2:$D$246,0.4),3,
D243&gt;=_xlfn.PERCENTILE.INC($D$2:$D$246,0.2),2,
TRUE,1
)</f>
        <v>2</v>
      </c>
      <c r="H243">
        <f t="shared" si="3"/>
        <v>5</v>
      </c>
      <c r="I243" t="str" cm="1">
        <f t="array" ref="I243">_xlfn.IFS(H243&gt;=13,"Best Customers",H243&gt;=10,"Loyal Customers",H243&gt;=7,"Potential Loyal Customers",H243&gt;=4,"Need Attention",TRUE,"At Risk")</f>
        <v>Need Attention</v>
      </c>
    </row>
    <row r="244" spans="1:9" x14ac:dyDescent="0.25">
      <c r="A244" t="s">
        <v>472</v>
      </c>
      <c r="B244" s="5">
        <v>154</v>
      </c>
      <c r="C244" s="5">
        <v>2</v>
      </c>
      <c r="D244" s="2">
        <v>9961.99</v>
      </c>
      <c r="E244" cm="1">
        <f t="array" ref="E244">_xlfn.IFS(
B244&lt;=_xlfn.PERCENTILE.INC($B$2:$B$246,0.2),5,
B244&lt;=_xlfn.PERCENTILE.INC($B$2:$B$246,0.4),4,
B244&lt;=_xlfn.PERCENTILE.INC($B$2:$B$246,0.6),3,
B244&lt;=_xlfn.PERCENTILE.INC($B$2:$B$246,0.8),2,
TRUE,1
)</f>
        <v>3</v>
      </c>
      <c r="F244" cm="1">
        <f t="array" ref="F244">_xlfn.IFS(
C244&gt;=_xlfn.PERCENTILE.INC($C$2:$C$246,0.8),5,
C244&gt;=_xlfn.PERCENTILE.INC($C$2:$C$246,0.6),4,
C244&gt;=_xlfn.PERCENTILE.INC($C$2:$C$246,0.4),3,
C244&gt;=_xlfn.PERCENTILE.INC($C$2:$C$246,0.2),2,
TRUE,1
)</f>
        <v>2</v>
      </c>
      <c r="G244" cm="1">
        <f t="array" ref="G244">_xlfn.IFS(
D244&gt;=_xlfn.PERCENTILE.INC($D$2:$D$246,0.8),5,
D244&gt;=_xlfn.PERCENTILE.INC($D$2:$D$246,0.6),4,
D244&gt;=_xlfn.PERCENTILE.INC($D$2:$D$246,0.4),3,
D244&gt;=_xlfn.PERCENTILE.INC($D$2:$D$246,0.2),2,
TRUE,1
)</f>
        <v>1</v>
      </c>
      <c r="H244">
        <f t="shared" si="3"/>
        <v>6</v>
      </c>
      <c r="I244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 x14ac:dyDescent="0.25">
      <c r="A245" t="s">
        <v>92</v>
      </c>
      <c r="B245" s="5">
        <v>14</v>
      </c>
      <c r="C245" s="5">
        <v>3</v>
      </c>
      <c r="D245" s="2">
        <v>12925</v>
      </c>
      <c r="E245" cm="1">
        <f t="array" ref="E245">_xlfn.IFS(
B245&lt;=_xlfn.PERCENTILE.INC($B$2:$B$246,0.2),5,
B245&lt;=_xlfn.PERCENTILE.INC($B$2:$B$246,0.4),4,
B245&lt;=_xlfn.PERCENTILE.INC($B$2:$B$246,0.6),3,
B245&lt;=_xlfn.PERCENTILE.INC($B$2:$B$246,0.8),2,
TRUE,1
)</f>
        <v>5</v>
      </c>
      <c r="F245" cm="1">
        <f t="array" ref="F245">_xlfn.IFS(
C245&gt;=_xlfn.PERCENTILE.INC($C$2:$C$246,0.8),5,
C245&gt;=_xlfn.PERCENTILE.INC($C$2:$C$246,0.6),4,
C245&gt;=_xlfn.PERCENTILE.INC($C$2:$C$246,0.4),3,
C245&gt;=_xlfn.PERCENTILE.INC($C$2:$C$246,0.2),2,
TRUE,1
)</f>
        <v>3</v>
      </c>
      <c r="G245" cm="1">
        <f t="array" ref="G245">_xlfn.IFS(
D245&gt;=_xlfn.PERCENTILE.INC($D$2:$D$246,0.8),5,
D245&gt;=_xlfn.PERCENTILE.INC($D$2:$D$246,0.6),4,
D245&gt;=_xlfn.PERCENTILE.INC($D$2:$D$246,0.4),3,
D245&gt;=_xlfn.PERCENTILE.INC($D$2:$D$246,0.2),2,
TRUE,1
)</f>
        <v>2</v>
      </c>
      <c r="H245">
        <f t="shared" si="3"/>
        <v>10</v>
      </c>
      <c r="I245" t="str" cm="1">
        <f t="array" ref="I245">_xlfn.IFS(H245&gt;=13,"Best Customers",H245&gt;=10,"Loyal Customers",H245&gt;=7,"Potential Loyal Customers",H245&gt;=4,"Need Attention",TRUE,"At Risk")</f>
        <v>Loyal Customers</v>
      </c>
    </row>
    <row r="246" spans="1:9" x14ac:dyDescent="0.25">
      <c r="A246" t="s">
        <v>112</v>
      </c>
      <c r="B246" s="5">
        <v>11</v>
      </c>
      <c r="C246" s="5">
        <v>5</v>
      </c>
      <c r="D246" s="2">
        <v>13805.3</v>
      </c>
      <c r="E246" cm="1">
        <f t="array" ref="E246">_xlfn.IFS(
B246&lt;=_xlfn.PERCENTILE.INC($B$2:$B$246,0.2),5,
B246&lt;=_xlfn.PERCENTILE.INC($B$2:$B$246,0.4),4,
B246&lt;=_xlfn.PERCENTILE.INC($B$2:$B$246,0.6),3,
B246&lt;=_xlfn.PERCENTILE.INC($B$2:$B$246,0.8),2,
TRUE,1
)</f>
        <v>5</v>
      </c>
      <c r="F246" cm="1">
        <f t="array" ref="F246">_xlfn.IFS(
C246&gt;=_xlfn.PERCENTILE.INC($C$2:$C$246,0.8),5,
C246&gt;=_xlfn.PERCENTILE.INC($C$2:$C$246,0.6),4,
C246&gt;=_xlfn.PERCENTILE.INC($C$2:$C$246,0.4),3,
C246&gt;=_xlfn.PERCENTILE.INC($C$2:$C$246,0.2),2,
TRUE,1
)</f>
        <v>4</v>
      </c>
      <c r="G246" cm="1">
        <f t="array" ref="G246">_xlfn.IFS(
D246&gt;=_xlfn.PERCENTILE.INC($D$2:$D$246,0.8),5,
D246&gt;=_xlfn.PERCENTILE.INC($D$2:$D$246,0.6),4,
D246&gt;=_xlfn.PERCENTILE.INC($D$2:$D$246,0.4),3,
D246&gt;=_xlfn.PERCENTILE.INC($D$2:$D$246,0.2),2,
TRUE,1
)</f>
        <v>2</v>
      </c>
      <c r="H246">
        <f t="shared" si="3"/>
        <v>11</v>
      </c>
      <c r="I246" t="str" cm="1">
        <f t="array" ref="I246">_xlfn.IFS(H246&gt;=13,"Best Customers",H246&gt;=10,"Loyal Customers",H246&gt;=7,"Potential Loyal Customers",H246&gt;=4,"Need Attention",TRUE,"At Risk")</f>
        <v>Loyal Customers</v>
      </c>
    </row>
  </sheetData>
  <conditionalFormatting sqref="I2:I246">
    <cfRule type="expression" dxfId="4" priority="1">
      <formula>$I2="At Risk"</formula>
    </cfRule>
    <cfRule type="expression" dxfId="3" priority="2">
      <formula>$I2="Need Attention"</formula>
    </cfRule>
    <cfRule type="expression" dxfId="2" priority="3">
      <formula>$I2="Potential Loyal Customers"</formula>
    </cfRule>
    <cfRule type="expression" dxfId="1" priority="4">
      <formula>$I2="Loyal Customers"</formula>
    </cfRule>
    <cfRule type="expression" dxfId="0" priority="11">
      <formula>$I2="Best Customers"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8389-380D-4C7D-8D59-0253B8BC3C92}">
  <dimension ref="A2:H249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6.7109375" bestFit="1" customWidth="1"/>
    <col min="4" max="4" width="18.5703125" bestFit="1" customWidth="1"/>
    <col min="5" max="5" width="12.7109375" customWidth="1"/>
    <col min="6" max="6" width="10.28515625" customWidth="1"/>
    <col min="7" max="7" width="12.28515625" customWidth="1"/>
    <col min="8" max="8" width="11" customWidth="1"/>
  </cols>
  <sheetData>
    <row r="2" spans="1:8" x14ac:dyDescent="0.25">
      <c r="B2" t="s">
        <v>1263</v>
      </c>
      <c r="C2" t="s">
        <v>1264</v>
      </c>
      <c r="D2" t="s">
        <v>1265</v>
      </c>
    </row>
    <row r="3" spans="1:8" x14ac:dyDescent="0.25">
      <c r="A3" s="3" t="s">
        <v>1258</v>
      </c>
      <c r="B3" t="s">
        <v>1260</v>
      </c>
      <c r="C3" t="s">
        <v>1261</v>
      </c>
      <c r="D3" t="s">
        <v>1262</v>
      </c>
      <c r="E3" t="s">
        <v>1266</v>
      </c>
      <c r="F3" t="s">
        <v>1263</v>
      </c>
      <c r="G3" t="s">
        <v>1264</v>
      </c>
      <c r="H3" t="s">
        <v>1265</v>
      </c>
    </row>
    <row r="4" spans="1:8" x14ac:dyDescent="0.25">
      <c r="A4" s="4" t="s">
        <v>357</v>
      </c>
      <c r="B4" s="1">
        <v>45771</v>
      </c>
      <c r="C4">
        <v>5</v>
      </c>
      <c r="D4" s="2">
        <v>25658.080000000002</v>
      </c>
      <c r="E4" t="str">
        <f>A4</f>
        <v>CUST0001</v>
      </c>
      <c r="F4">
        <f ca="1">TODAY()-B4</f>
        <v>261</v>
      </c>
      <c r="G4">
        <f>C4</f>
        <v>5</v>
      </c>
      <c r="H4" s="2">
        <f>D4</f>
        <v>25658.080000000002</v>
      </c>
    </row>
    <row r="5" spans="1:8" x14ac:dyDescent="0.25">
      <c r="A5" s="4" t="s">
        <v>108</v>
      </c>
      <c r="B5" s="1">
        <v>45748</v>
      </c>
      <c r="C5">
        <v>3</v>
      </c>
      <c r="D5" s="2">
        <v>18379.100000000002</v>
      </c>
      <c r="E5" t="str">
        <f t="shared" ref="E5:E68" si="0">A5</f>
        <v>CUST0002</v>
      </c>
      <c r="F5">
        <f t="shared" ref="F5:F68" ca="1" si="1">TODAY()-B5</f>
        <v>284</v>
      </c>
      <c r="G5">
        <f t="shared" ref="G5:G68" si="2">C5</f>
        <v>3</v>
      </c>
      <c r="H5" s="2">
        <f t="shared" ref="H5:H68" si="3">D5</f>
        <v>18379.100000000002</v>
      </c>
    </row>
    <row r="6" spans="1:8" x14ac:dyDescent="0.25">
      <c r="A6" s="4" t="s">
        <v>240</v>
      </c>
      <c r="B6" s="1">
        <v>45811</v>
      </c>
      <c r="C6">
        <v>3</v>
      </c>
      <c r="D6" s="2">
        <v>15285.53</v>
      </c>
      <c r="E6" t="str">
        <f t="shared" si="0"/>
        <v>CUST0003</v>
      </c>
      <c r="F6">
        <f t="shared" ca="1" si="1"/>
        <v>221</v>
      </c>
      <c r="G6">
        <f t="shared" si="2"/>
        <v>3</v>
      </c>
      <c r="H6" s="2">
        <f t="shared" si="3"/>
        <v>15285.53</v>
      </c>
    </row>
    <row r="7" spans="1:8" x14ac:dyDescent="0.25">
      <c r="A7" s="4" t="s">
        <v>164</v>
      </c>
      <c r="B7" s="1">
        <v>45960</v>
      </c>
      <c r="C7">
        <v>3</v>
      </c>
      <c r="D7" s="2">
        <v>16168.149999999998</v>
      </c>
      <c r="E7" t="str">
        <f t="shared" si="0"/>
        <v>CUST0004</v>
      </c>
      <c r="F7">
        <f t="shared" ca="1" si="1"/>
        <v>72</v>
      </c>
      <c r="G7">
        <f t="shared" si="2"/>
        <v>3</v>
      </c>
      <c r="H7" s="2">
        <f t="shared" si="3"/>
        <v>16168.149999999998</v>
      </c>
    </row>
    <row r="8" spans="1:8" x14ac:dyDescent="0.25">
      <c r="A8" s="4" t="s">
        <v>760</v>
      </c>
      <c r="B8" s="1">
        <v>45881</v>
      </c>
      <c r="C8">
        <v>3</v>
      </c>
      <c r="D8" s="2">
        <v>10016.08</v>
      </c>
      <c r="E8" t="str">
        <f t="shared" si="0"/>
        <v>CUST0005</v>
      </c>
      <c r="F8">
        <f t="shared" ca="1" si="1"/>
        <v>151</v>
      </c>
      <c r="G8">
        <f t="shared" si="2"/>
        <v>3</v>
      </c>
      <c r="H8" s="2">
        <f t="shared" si="3"/>
        <v>10016.08</v>
      </c>
    </row>
    <row r="9" spans="1:8" x14ac:dyDescent="0.25">
      <c r="A9" s="4" t="s">
        <v>70</v>
      </c>
      <c r="B9" s="1">
        <v>45805</v>
      </c>
      <c r="C9">
        <v>5</v>
      </c>
      <c r="D9" s="2">
        <v>15747.199999999999</v>
      </c>
      <c r="E9" t="str">
        <f t="shared" si="0"/>
        <v>CUST0006</v>
      </c>
      <c r="F9">
        <f t="shared" ca="1" si="1"/>
        <v>227</v>
      </c>
      <c r="G9">
        <f t="shared" si="2"/>
        <v>5</v>
      </c>
      <c r="H9" s="2">
        <f t="shared" si="3"/>
        <v>15747.199999999999</v>
      </c>
    </row>
    <row r="10" spans="1:8" x14ac:dyDescent="0.25">
      <c r="A10" s="4" t="s">
        <v>131</v>
      </c>
      <c r="B10" s="1">
        <v>46016</v>
      </c>
      <c r="C10">
        <v>7</v>
      </c>
      <c r="D10" s="2">
        <v>35370.679999999993</v>
      </c>
      <c r="E10" t="str">
        <f t="shared" si="0"/>
        <v>CUST0007</v>
      </c>
      <c r="F10">
        <f t="shared" ca="1" si="1"/>
        <v>16</v>
      </c>
      <c r="G10">
        <f t="shared" si="2"/>
        <v>7</v>
      </c>
      <c r="H10" s="2">
        <f t="shared" si="3"/>
        <v>35370.679999999993</v>
      </c>
    </row>
    <row r="11" spans="1:8" x14ac:dyDescent="0.25">
      <c r="A11" s="4" t="s">
        <v>174</v>
      </c>
      <c r="B11" s="1">
        <v>46020</v>
      </c>
      <c r="C11">
        <v>4</v>
      </c>
      <c r="D11" s="2">
        <v>12616.59</v>
      </c>
      <c r="E11" t="str">
        <f t="shared" si="0"/>
        <v>CUST0008</v>
      </c>
      <c r="F11">
        <f t="shared" ca="1" si="1"/>
        <v>12</v>
      </c>
      <c r="G11">
        <f t="shared" si="2"/>
        <v>4</v>
      </c>
      <c r="H11" s="2">
        <f t="shared" si="3"/>
        <v>12616.59</v>
      </c>
    </row>
    <row r="12" spans="1:8" x14ac:dyDescent="0.25">
      <c r="A12" s="4" t="s">
        <v>181</v>
      </c>
      <c r="B12" s="1">
        <v>46016</v>
      </c>
      <c r="C12">
        <v>6</v>
      </c>
      <c r="D12" s="2">
        <v>41965.96</v>
      </c>
      <c r="E12" t="str">
        <f t="shared" si="0"/>
        <v>CUST0009</v>
      </c>
      <c r="F12">
        <f t="shared" ca="1" si="1"/>
        <v>16</v>
      </c>
      <c r="G12">
        <f t="shared" si="2"/>
        <v>6</v>
      </c>
      <c r="H12" s="2">
        <f t="shared" si="3"/>
        <v>41965.96</v>
      </c>
    </row>
    <row r="13" spans="1:8" x14ac:dyDescent="0.25">
      <c r="A13" s="4" t="s">
        <v>50</v>
      </c>
      <c r="B13" s="1">
        <v>45932</v>
      </c>
      <c r="C13">
        <v>5</v>
      </c>
      <c r="D13" s="2">
        <v>32474.95</v>
      </c>
      <c r="E13" t="str">
        <f t="shared" si="0"/>
        <v>CUST0010</v>
      </c>
      <c r="F13">
        <f t="shared" ca="1" si="1"/>
        <v>100</v>
      </c>
      <c r="G13">
        <f t="shared" si="2"/>
        <v>5</v>
      </c>
      <c r="H13" s="2">
        <f t="shared" si="3"/>
        <v>32474.95</v>
      </c>
    </row>
    <row r="14" spans="1:8" x14ac:dyDescent="0.25">
      <c r="A14" s="4" t="s">
        <v>104</v>
      </c>
      <c r="B14" s="1">
        <v>45971</v>
      </c>
      <c r="C14">
        <v>3</v>
      </c>
      <c r="D14" s="2">
        <v>22318.65</v>
      </c>
      <c r="E14" t="str">
        <f t="shared" si="0"/>
        <v>CUST0011</v>
      </c>
      <c r="F14">
        <f t="shared" ca="1" si="1"/>
        <v>61</v>
      </c>
      <c r="G14">
        <f t="shared" si="2"/>
        <v>3</v>
      </c>
      <c r="H14" s="2">
        <f t="shared" si="3"/>
        <v>22318.65</v>
      </c>
    </row>
    <row r="15" spans="1:8" x14ac:dyDescent="0.25">
      <c r="A15" s="4" t="s">
        <v>994</v>
      </c>
      <c r="B15" s="1">
        <v>45448</v>
      </c>
      <c r="C15">
        <v>1</v>
      </c>
      <c r="D15" s="2">
        <v>9070.18</v>
      </c>
      <c r="E15" t="str">
        <f t="shared" si="0"/>
        <v>CUST0012</v>
      </c>
      <c r="F15">
        <f t="shared" ca="1" si="1"/>
        <v>584</v>
      </c>
      <c r="G15">
        <f t="shared" si="2"/>
        <v>1</v>
      </c>
      <c r="H15" s="2">
        <f t="shared" si="3"/>
        <v>9070.18</v>
      </c>
    </row>
    <row r="16" spans="1:8" x14ac:dyDescent="0.25">
      <c r="A16" s="4" t="s">
        <v>387</v>
      </c>
      <c r="B16" s="1">
        <v>45949</v>
      </c>
      <c r="C16">
        <v>2</v>
      </c>
      <c r="D16" s="2">
        <v>12303.82</v>
      </c>
      <c r="E16" t="str">
        <f t="shared" si="0"/>
        <v>CUST0013</v>
      </c>
      <c r="F16">
        <f t="shared" ca="1" si="1"/>
        <v>83</v>
      </c>
      <c r="G16">
        <f t="shared" si="2"/>
        <v>2</v>
      </c>
      <c r="H16" s="2">
        <f t="shared" si="3"/>
        <v>12303.82</v>
      </c>
    </row>
    <row r="17" spans="1:8" x14ac:dyDescent="0.25">
      <c r="A17" s="4" t="s">
        <v>371</v>
      </c>
      <c r="B17" s="1">
        <v>45849</v>
      </c>
      <c r="C17">
        <v>4</v>
      </c>
      <c r="D17" s="2">
        <v>24800.989999999998</v>
      </c>
      <c r="E17" t="str">
        <f t="shared" si="0"/>
        <v>CUST0014</v>
      </c>
      <c r="F17">
        <f t="shared" ca="1" si="1"/>
        <v>183</v>
      </c>
      <c r="G17">
        <f t="shared" si="2"/>
        <v>4</v>
      </c>
      <c r="H17" s="2">
        <f t="shared" si="3"/>
        <v>24800.989999999998</v>
      </c>
    </row>
    <row r="18" spans="1:8" x14ac:dyDescent="0.25">
      <c r="A18" s="4" t="s">
        <v>564</v>
      </c>
      <c r="B18" s="1">
        <v>45973</v>
      </c>
      <c r="C18">
        <v>3</v>
      </c>
      <c r="D18" s="2">
        <v>10566.1</v>
      </c>
      <c r="E18" t="str">
        <f t="shared" si="0"/>
        <v>CUST0015</v>
      </c>
      <c r="F18">
        <f t="shared" ca="1" si="1"/>
        <v>59</v>
      </c>
      <c r="G18">
        <f t="shared" si="2"/>
        <v>3</v>
      </c>
      <c r="H18" s="2">
        <f t="shared" si="3"/>
        <v>10566.1</v>
      </c>
    </row>
    <row r="19" spans="1:8" x14ac:dyDescent="0.25">
      <c r="A19" s="4" t="s">
        <v>224</v>
      </c>
      <c r="B19" s="1">
        <v>45849</v>
      </c>
      <c r="C19">
        <v>2</v>
      </c>
      <c r="D19" s="2">
        <v>6634.02</v>
      </c>
      <c r="E19" t="str">
        <f t="shared" si="0"/>
        <v>CUST0016</v>
      </c>
      <c r="F19">
        <f t="shared" ca="1" si="1"/>
        <v>183</v>
      </c>
      <c r="G19">
        <f t="shared" si="2"/>
        <v>2</v>
      </c>
      <c r="H19" s="2">
        <f t="shared" si="3"/>
        <v>6634.02</v>
      </c>
    </row>
    <row r="20" spans="1:8" x14ac:dyDescent="0.25">
      <c r="A20" s="4" t="s">
        <v>280</v>
      </c>
      <c r="B20" s="1">
        <v>45761</v>
      </c>
      <c r="C20">
        <v>2</v>
      </c>
      <c r="D20" s="2">
        <v>14719.57</v>
      </c>
      <c r="E20" t="str">
        <f t="shared" si="0"/>
        <v>CUST0017</v>
      </c>
      <c r="F20">
        <f t="shared" ca="1" si="1"/>
        <v>271</v>
      </c>
      <c r="G20">
        <f t="shared" si="2"/>
        <v>2</v>
      </c>
      <c r="H20" s="2">
        <f t="shared" si="3"/>
        <v>14719.57</v>
      </c>
    </row>
    <row r="21" spans="1:8" x14ac:dyDescent="0.25">
      <c r="A21" s="4" t="s">
        <v>270</v>
      </c>
      <c r="B21" s="1">
        <v>45677</v>
      </c>
      <c r="C21">
        <v>3</v>
      </c>
      <c r="D21" s="2">
        <v>15818.079999999998</v>
      </c>
      <c r="E21" t="str">
        <f t="shared" si="0"/>
        <v>CUST0018</v>
      </c>
      <c r="F21">
        <f t="shared" ca="1" si="1"/>
        <v>355</v>
      </c>
      <c r="G21">
        <f t="shared" si="2"/>
        <v>3</v>
      </c>
      <c r="H21" s="2">
        <f t="shared" si="3"/>
        <v>15818.079999999998</v>
      </c>
    </row>
    <row r="22" spans="1:8" x14ac:dyDescent="0.25">
      <c r="A22" s="4" t="s">
        <v>1081</v>
      </c>
      <c r="B22" s="1">
        <v>45946</v>
      </c>
      <c r="C22">
        <v>1</v>
      </c>
      <c r="D22" s="2">
        <v>8714.69</v>
      </c>
      <c r="E22" t="str">
        <f t="shared" si="0"/>
        <v>CUST0019</v>
      </c>
      <c r="F22">
        <f t="shared" ca="1" si="1"/>
        <v>86</v>
      </c>
      <c r="G22">
        <f t="shared" si="2"/>
        <v>1</v>
      </c>
      <c r="H22" s="2">
        <f t="shared" si="3"/>
        <v>8714.69</v>
      </c>
    </row>
    <row r="23" spans="1:8" x14ac:dyDescent="0.25">
      <c r="A23" s="4" t="s">
        <v>878</v>
      </c>
      <c r="B23" s="1">
        <v>45745</v>
      </c>
      <c r="C23">
        <v>1</v>
      </c>
      <c r="D23" s="2">
        <v>567.35</v>
      </c>
      <c r="E23" t="str">
        <f t="shared" si="0"/>
        <v>CUST0020</v>
      </c>
      <c r="F23">
        <f t="shared" ca="1" si="1"/>
        <v>287</v>
      </c>
      <c r="G23">
        <f t="shared" si="2"/>
        <v>1</v>
      </c>
      <c r="H23" s="2">
        <f t="shared" si="3"/>
        <v>567.35</v>
      </c>
    </row>
    <row r="24" spans="1:8" x14ac:dyDescent="0.25">
      <c r="A24" s="4" t="s">
        <v>571</v>
      </c>
      <c r="B24" s="1">
        <v>45826</v>
      </c>
      <c r="C24">
        <v>7</v>
      </c>
      <c r="D24" s="2">
        <v>52120.80999999999</v>
      </c>
      <c r="E24" t="str">
        <f t="shared" si="0"/>
        <v>CUST0021</v>
      </c>
      <c r="F24">
        <f t="shared" ca="1" si="1"/>
        <v>206</v>
      </c>
      <c r="G24">
        <f t="shared" si="2"/>
        <v>7</v>
      </c>
      <c r="H24" s="2">
        <f t="shared" si="3"/>
        <v>52120.80999999999</v>
      </c>
    </row>
    <row r="25" spans="1:8" x14ac:dyDescent="0.25">
      <c r="A25" s="4" t="s">
        <v>713</v>
      </c>
      <c r="B25" s="1">
        <v>45627</v>
      </c>
      <c r="C25">
        <v>4</v>
      </c>
      <c r="D25" s="2">
        <v>18572.29</v>
      </c>
      <c r="E25" t="str">
        <f t="shared" si="0"/>
        <v>CUST0022</v>
      </c>
      <c r="F25">
        <f t="shared" ca="1" si="1"/>
        <v>405</v>
      </c>
      <c r="G25">
        <f t="shared" si="2"/>
        <v>4</v>
      </c>
      <c r="H25" s="2">
        <f t="shared" si="3"/>
        <v>18572.29</v>
      </c>
    </row>
    <row r="26" spans="1:8" x14ac:dyDescent="0.25">
      <c r="A26" s="4" t="s">
        <v>58</v>
      </c>
      <c r="B26" s="1">
        <v>45992</v>
      </c>
      <c r="C26">
        <v>6</v>
      </c>
      <c r="D26" s="2">
        <v>26944.800000000003</v>
      </c>
      <c r="E26" t="str">
        <f t="shared" si="0"/>
        <v>CUST0023</v>
      </c>
      <c r="F26">
        <f t="shared" ca="1" si="1"/>
        <v>40</v>
      </c>
      <c r="G26">
        <f t="shared" si="2"/>
        <v>6</v>
      </c>
      <c r="H26" s="2">
        <f t="shared" si="3"/>
        <v>26944.800000000003</v>
      </c>
    </row>
    <row r="27" spans="1:8" x14ac:dyDescent="0.25">
      <c r="A27" s="4" t="s">
        <v>1061</v>
      </c>
      <c r="B27" s="1">
        <v>45956</v>
      </c>
      <c r="C27">
        <v>2</v>
      </c>
      <c r="D27" s="2">
        <v>9001.8499999999985</v>
      </c>
      <c r="E27" t="str">
        <f t="shared" si="0"/>
        <v>CUST0024</v>
      </c>
      <c r="F27">
        <f t="shared" ca="1" si="1"/>
        <v>76</v>
      </c>
      <c r="G27">
        <f t="shared" si="2"/>
        <v>2</v>
      </c>
      <c r="H27" s="2">
        <f t="shared" si="3"/>
        <v>9001.8499999999985</v>
      </c>
    </row>
    <row r="28" spans="1:8" x14ac:dyDescent="0.25">
      <c r="A28" s="4" t="s">
        <v>662</v>
      </c>
      <c r="B28" s="1">
        <v>45956</v>
      </c>
      <c r="C28">
        <v>4</v>
      </c>
      <c r="D28" s="2">
        <v>26478.37</v>
      </c>
      <c r="E28" t="str">
        <f t="shared" si="0"/>
        <v>CUST0025</v>
      </c>
      <c r="F28">
        <f t="shared" ca="1" si="1"/>
        <v>76</v>
      </c>
      <c r="G28">
        <f t="shared" si="2"/>
        <v>4</v>
      </c>
      <c r="H28" s="2">
        <f t="shared" si="3"/>
        <v>26478.37</v>
      </c>
    </row>
    <row r="29" spans="1:8" x14ac:dyDescent="0.25">
      <c r="A29" s="4" t="s">
        <v>416</v>
      </c>
      <c r="B29" s="1">
        <v>45933</v>
      </c>
      <c r="C29">
        <v>2</v>
      </c>
      <c r="D29" s="2">
        <v>9985.02</v>
      </c>
      <c r="E29" t="str">
        <f t="shared" si="0"/>
        <v>CUST0026</v>
      </c>
      <c r="F29">
        <f t="shared" ca="1" si="1"/>
        <v>99</v>
      </c>
      <c r="G29">
        <f t="shared" si="2"/>
        <v>2</v>
      </c>
      <c r="H29" s="2">
        <f t="shared" si="3"/>
        <v>9985.02</v>
      </c>
    </row>
    <row r="30" spans="1:8" x14ac:dyDescent="0.25">
      <c r="A30" s="4" t="s">
        <v>345</v>
      </c>
      <c r="B30" s="1">
        <v>45801</v>
      </c>
      <c r="C30">
        <v>5</v>
      </c>
      <c r="D30" s="2">
        <v>24291.22</v>
      </c>
      <c r="E30" t="str">
        <f t="shared" si="0"/>
        <v>CUST0027</v>
      </c>
      <c r="F30">
        <f t="shared" ca="1" si="1"/>
        <v>231</v>
      </c>
      <c r="G30">
        <f t="shared" si="2"/>
        <v>5</v>
      </c>
      <c r="H30" s="2">
        <f t="shared" si="3"/>
        <v>24291.22</v>
      </c>
    </row>
    <row r="31" spans="1:8" x14ac:dyDescent="0.25">
      <c r="A31" s="4" t="s">
        <v>209</v>
      </c>
      <c r="B31" s="1">
        <v>45945</v>
      </c>
      <c r="C31">
        <v>2</v>
      </c>
      <c r="D31" s="2">
        <v>8263.2800000000007</v>
      </c>
      <c r="E31" t="str">
        <f t="shared" si="0"/>
        <v>CUST0028</v>
      </c>
      <c r="F31">
        <f t="shared" ca="1" si="1"/>
        <v>87</v>
      </c>
      <c r="G31">
        <f t="shared" si="2"/>
        <v>2</v>
      </c>
      <c r="H31" s="2">
        <f t="shared" si="3"/>
        <v>8263.2800000000007</v>
      </c>
    </row>
    <row r="32" spans="1:8" x14ac:dyDescent="0.25">
      <c r="A32" s="4" t="s">
        <v>191</v>
      </c>
      <c r="B32" s="1">
        <v>45921</v>
      </c>
      <c r="C32">
        <v>3</v>
      </c>
      <c r="D32" s="2">
        <v>14840.539999999999</v>
      </c>
      <c r="E32" t="str">
        <f t="shared" si="0"/>
        <v>CUST0029</v>
      </c>
      <c r="F32">
        <f t="shared" ca="1" si="1"/>
        <v>111</v>
      </c>
      <c r="G32">
        <f t="shared" si="2"/>
        <v>3</v>
      </c>
      <c r="H32" s="2">
        <f t="shared" si="3"/>
        <v>14840.539999999999</v>
      </c>
    </row>
    <row r="33" spans="1:8" x14ac:dyDescent="0.25">
      <c r="A33" s="4" t="s">
        <v>494</v>
      </c>
      <c r="B33" s="1">
        <v>45969</v>
      </c>
      <c r="C33">
        <v>5</v>
      </c>
      <c r="D33" s="2">
        <v>17836.77</v>
      </c>
      <c r="E33" t="str">
        <f t="shared" si="0"/>
        <v>CUST0030</v>
      </c>
      <c r="F33">
        <f t="shared" ca="1" si="1"/>
        <v>63</v>
      </c>
      <c r="G33">
        <f t="shared" si="2"/>
        <v>5</v>
      </c>
      <c r="H33" s="2">
        <f t="shared" si="3"/>
        <v>17836.77</v>
      </c>
    </row>
    <row r="34" spans="1:8" x14ac:dyDescent="0.25">
      <c r="A34" s="4" t="s">
        <v>478</v>
      </c>
      <c r="B34" s="1">
        <v>46009</v>
      </c>
      <c r="C34">
        <v>5</v>
      </c>
      <c r="D34" s="2">
        <v>31460.059999999998</v>
      </c>
      <c r="E34" t="str">
        <f t="shared" si="0"/>
        <v>CUST0031</v>
      </c>
      <c r="F34">
        <f t="shared" ca="1" si="1"/>
        <v>23</v>
      </c>
      <c r="G34">
        <f t="shared" si="2"/>
        <v>5</v>
      </c>
      <c r="H34" s="2">
        <f t="shared" si="3"/>
        <v>31460.059999999998</v>
      </c>
    </row>
    <row r="35" spans="1:8" x14ac:dyDescent="0.25">
      <c r="A35" s="4" t="s">
        <v>282</v>
      </c>
      <c r="B35" s="1">
        <v>45894</v>
      </c>
      <c r="C35">
        <v>7</v>
      </c>
      <c r="D35" s="2">
        <v>45002.880000000005</v>
      </c>
      <c r="E35" t="str">
        <f t="shared" si="0"/>
        <v>CUST0032</v>
      </c>
      <c r="F35">
        <f t="shared" ca="1" si="1"/>
        <v>138</v>
      </c>
      <c r="G35">
        <f t="shared" si="2"/>
        <v>7</v>
      </c>
      <c r="H35" s="2">
        <f t="shared" si="3"/>
        <v>45002.880000000005</v>
      </c>
    </row>
    <row r="36" spans="1:8" x14ac:dyDescent="0.25">
      <c r="A36" s="4" t="s">
        <v>1213</v>
      </c>
      <c r="B36" s="1">
        <v>45758</v>
      </c>
      <c r="C36">
        <v>2</v>
      </c>
      <c r="D36" s="2">
        <v>9960.9500000000007</v>
      </c>
      <c r="E36" t="str">
        <f t="shared" si="0"/>
        <v>CUST0033</v>
      </c>
      <c r="F36">
        <f t="shared" ca="1" si="1"/>
        <v>274</v>
      </c>
      <c r="G36">
        <f t="shared" si="2"/>
        <v>2</v>
      </c>
      <c r="H36" s="2">
        <f t="shared" si="3"/>
        <v>9960.9500000000007</v>
      </c>
    </row>
    <row r="37" spans="1:8" x14ac:dyDescent="0.25">
      <c r="A37" s="4" t="s">
        <v>31</v>
      </c>
      <c r="B37" s="1">
        <v>45942</v>
      </c>
      <c r="C37">
        <v>5</v>
      </c>
      <c r="D37" s="2">
        <v>25672.780000000002</v>
      </c>
      <c r="E37" t="str">
        <f t="shared" si="0"/>
        <v>CUST0034</v>
      </c>
      <c r="F37">
        <f t="shared" ca="1" si="1"/>
        <v>90</v>
      </c>
      <c r="G37">
        <f t="shared" si="2"/>
        <v>5</v>
      </c>
      <c r="H37" s="2">
        <f t="shared" si="3"/>
        <v>25672.780000000002</v>
      </c>
    </row>
    <row r="38" spans="1:8" x14ac:dyDescent="0.25">
      <c r="A38" s="4" t="s">
        <v>542</v>
      </c>
      <c r="B38" s="1">
        <v>45782</v>
      </c>
      <c r="C38">
        <v>7</v>
      </c>
      <c r="D38" s="2">
        <v>37355.460000000006</v>
      </c>
      <c r="E38" t="str">
        <f t="shared" si="0"/>
        <v>CUST0035</v>
      </c>
      <c r="F38">
        <f t="shared" ca="1" si="1"/>
        <v>250</v>
      </c>
      <c r="G38">
        <f t="shared" si="2"/>
        <v>7</v>
      </c>
      <c r="H38" s="2">
        <f t="shared" si="3"/>
        <v>37355.460000000006</v>
      </c>
    </row>
    <row r="39" spans="1:8" x14ac:dyDescent="0.25">
      <c r="A39" s="4" t="s">
        <v>29</v>
      </c>
      <c r="B39" s="1">
        <v>45902</v>
      </c>
      <c r="C39">
        <v>9</v>
      </c>
      <c r="D39" s="2">
        <v>54955.4</v>
      </c>
      <c r="E39" t="str">
        <f t="shared" si="0"/>
        <v>CUST0036</v>
      </c>
      <c r="F39">
        <f t="shared" ca="1" si="1"/>
        <v>130</v>
      </c>
      <c r="G39">
        <f t="shared" si="2"/>
        <v>9</v>
      </c>
      <c r="H39" s="2">
        <f t="shared" si="3"/>
        <v>54955.4</v>
      </c>
    </row>
    <row r="40" spans="1:8" x14ac:dyDescent="0.25">
      <c r="A40" s="4" t="s">
        <v>62</v>
      </c>
      <c r="B40" s="1">
        <v>46017</v>
      </c>
      <c r="C40">
        <v>4</v>
      </c>
      <c r="D40" s="2">
        <v>18100.29</v>
      </c>
      <c r="E40" t="str">
        <f t="shared" si="0"/>
        <v>CUST0037</v>
      </c>
      <c r="F40">
        <f t="shared" ca="1" si="1"/>
        <v>15</v>
      </c>
      <c r="G40">
        <f t="shared" si="2"/>
        <v>4</v>
      </c>
      <c r="H40" s="2">
        <f t="shared" si="3"/>
        <v>18100.29</v>
      </c>
    </row>
    <row r="41" spans="1:8" x14ac:dyDescent="0.25">
      <c r="A41" s="4" t="s">
        <v>443</v>
      </c>
      <c r="B41" s="1">
        <v>45807</v>
      </c>
      <c r="C41">
        <v>3</v>
      </c>
      <c r="D41" s="2">
        <v>17957.519999999997</v>
      </c>
      <c r="E41" t="str">
        <f t="shared" si="0"/>
        <v>CUST0038</v>
      </c>
      <c r="F41">
        <f t="shared" ca="1" si="1"/>
        <v>225</v>
      </c>
      <c r="G41">
        <f t="shared" si="2"/>
        <v>3</v>
      </c>
      <c r="H41" s="2">
        <f t="shared" si="3"/>
        <v>17957.519999999997</v>
      </c>
    </row>
    <row r="42" spans="1:8" x14ac:dyDescent="0.25">
      <c r="A42" s="4" t="s">
        <v>306</v>
      </c>
      <c r="B42" s="1">
        <v>45889</v>
      </c>
      <c r="C42">
        <v>4</v>
      </c>
      <c r="D42" s="2">
        <v>22915.710000000003</v>
      </c>
      <c r="E42" t="str">
        <f t="shared" si="0"/>
        <v>CUST0039</v>
      </c>
      <c r="F42">
        <f t="shared" ca="1" si="1"/>
        <v>143</v>
      </c>
      <c r="G42">
        <f t="shared" si="2"/>
        <v>4</v>
      </c>
      <c r="H42" s="2">
        <f t="shared" si="3"/>
        <v>22915.710000000003</v>
      </c>
    </row>
    <row r="43" spans="1:8" x14ac:dyDescent="0.25">
      <c r="A43" s="4" t="s">
        <v>692</v>
      </c>
      <c r="B43" s="1">
        <v>45751</v>
      </c>
      <c r="C43">
        <v>5</v>
      </c>
      <c r="D43" s="2">
        <v>25990.339999999997</v>
      </c>
      <c r="E43" t="str">
        <f t="shared" si="0"/>
        <v>CUST0040</v>
      </c>
      <c r="F43">
        <f t="shared" ca="1" si="1"/>
        <v>281</v>
      </c>
      <c r="G43">
        <f t="shared" si="2"/>
        <v>5</v>
      </c>
      <c r="H43" s="2">
        <f t="shared" si="3"/>
        <v>25990.339999999997</v>
      </c>
    </row>
    <row r="44" spans="1:8" x14ac:dyDescent="0.25">
      <c r="A44" s="4" t="s">
        <v>156</v>
      </c>
      <c r="B44" s="1">
        <v>45699</v>
      </c>
      <c r="C44">
        <v>5</v>
      </c>
      <c r="D44" s="2">
        <v>10039.279999999999</v>
      </c>
      <c r="E44" t="str">
        <f t="shared" si="0"/>
        <v>CUST0041</v>
      </c>
      <c r="F44">
        <f t="shared" ca="1" si="1"/>
        <v>333</v>
      </c>
      <c r="G44">
        <f t="shared" si="2"/>
        <v>5</v>
      </c>
      <c r="H44" s="2">
        <f t="shared" si="3"/>
        <v>10039.279999999999</v>
      </c>
    </row>
    <row r="45" spans="1:8" x14ac:dyDescent="0.25">
      <c r="A45" s="4" t="s">
        <v>430</v>
      </c>
      <c r="B45" s="1">
        <v>45945</v>
      </c>
      <c r="C45">
        <v>2</v>
      </c>
      <c r="D45" s="2">
        <v>7846.92</v>
      </c>
      <c r="E45" t="str">
        <f t="shared" si="0"/>
        <v>CUST0042</v>
      </c>
      <c r="F45">
        <f t="shared" ca="1" si="1"/>
        <v>87</v>
      </c>
      <c r="G45">
        <f t="shared" si="2"/>
        <v>2</v>
      </c>
      <c r="H45" s="2">
        <f t="shared" si="3"/>
        <v>7846.92</v>
      </c>
    </row>
    <row r="46" spans="1:8" x14ac:dyDescent="0.25">
      <c r="A46" s="4" t="s">
        <v>313</v>
      </c>
      <c r="B46" s="1">
        <v>45974</v>
      </c>
      <c r="C46">
        <v>4</v>
      </c>
      <c r="D46" s="2">
        <v>25073.46</v>
      </c>
      <c r="E46" t="str">
        <f t="shared" si="0"/>
        <v>CUST0043</v>
      </c>
      <c r="F46">
        <f t="shared" ca="1" si="1"/>
        <v>58</v>
      </c>
      <c r="G46">
        <f t="shared" si="2"/>
        <v>4</v>
      </c>
      <c r="H46" s="2">
        <f t="shared" si="3"/>
        <v>25073.46</v>
      </c>
    </row>
    <row r="47" spans="1:8" x14ac:dyDescent="0.25">
      <c r="A47" s="4" t="s">
        <v>324</v>
      </c>
      <c r="B47" s="1">
        <v>46010</v>
      </c>
      <c r="C47">
        <v>11</v>
      </c>
      <c r="D47" s="2">
        <v>63453.25</v>
      </c>
      <c r="E47" t="str">
        <f t="shared" si="0"/>
        <v>CUST0044</v>
      </c>
      <c r="F47">
        <f t="shared" ca="1" si="1"/>
        <v>22</v>
      </c>
      <c r="G47">
        <f t="shared" si="2"/>
        <v>11</v>
      </c>
      <c r="H47" s="2">
        <f t="shared" si="3"/>
        <v>63453.25</v>
      </c>
    </row>
    <row r="48" spans="1:8" x14ac:dyDescent="0.25">
      <c r="A48" s="4" t="s">
        <v>172</v>
      </c>
      <c r="B48" s="1">
        <v>45994</v>
      </c>
      <c r="C48">
        <v>8</v>
      </c>
      <c r="D48" s="2">
        <v>37863.629999999997</v>
      </c>
      <c r="E48" t="str">
        <f t="shared" si="0"/>
        <v>CUST0045</v>
      </c>
      <c r="F48">
        <f t="shared" ca="1" si="1"/>
        <v>38</v>
      </c>
      <c r="G48">
        <f t="shared" si="2"/>
        <v>8</v>
      </c>
      <c r="H48" s="2">
        <f t="shared" si="3"/>
        <v>37863.629999999997</v>
      </c>
    </row>
    <row r="49" spans="1:8" x14ac:dyDescent="0.25">
      <c r="A49" s="4" t="s">
        <v>511</v>
      </c>
      <c r="B49" s="1">
        <v>46006</v>
      </c>
      <c r="C49">
        <v>4</v>
      </c>
      <c r="D49" s="2">
        <v>13435.27</v>
      </c>
      <c r="E49" t="str">
        <f t="shared" si="0"/>
        <v>CUST0046</v>
      </c>
      <c r="F49">
        <f t="shared" ca="1" si="1"/>
        <v>26</v>
      </c>
      <c r="G49">
        <f t="shared" si="2"/>
        <v>4</v>
      </c>
      <c r="H49" s="2">
        <f t="shared" si="3"/>
        <v>13435.27</v>
      </c>
    </row>
    <row r="50" spans="1:8" x14ac:dyDescent="0.25">
      <c r="A50" s="4" t="s">
        <v>293</v>
      </c>
      <c r="B50" s="1">
        <v>45910</v>
      </c>
      <c r="C50">
        <v>5</v>
      </c>
      <c r="D50" s="2">
        <v>18920.43</v>
      </c>
      <c r="E50" t="str">
        <f t="shared" si="0"/>
        <v>CUST0047</v>
      </c>
      <c r="F50">
        <f t="shared" ca="1" si="1"/>
        <v>122</v>
      </c>
      <c r="G50">
        <f t="shared" si="2"/>
        <v>5</v>
      </c>
      <c r="H50" s="2">
        <f t="shared" si="3"/>
        <v>18920.43</v>
      </c>
    </row>
    <row r="51" spans="1:8" x14ac:dyDescent="0.25">
      <c r="A51" s="4" t="s">
        <v>122</v>
      </c>
      <c r="B51" s="1">
        <v>46007</v>
      </c>
      <c r="C51">
        <v>4</v>
      </c>
      <c r="D51" s="2">
        <v>11647.74</v>
      </c>
      <c r="E51" t="str">
        <f t="shared" si="0"/>
        <v>CUST0048</v>
      </c>
      <c r="F51">
        <f t="shared" ca="1" si="1"/>
        <v>25</v>
      </c>
      <c r="G51">
        <f t="shared" si="2"/>
        <v>4</v>
      </c>
      <c r="H51" s="2">
        <f t="shared" si="3"/>
        <v>11647.74</v>
      </c>
    </row>
    <row r="52" spans="1:8" x14ac:dyDescent="0.25">
      <c r="A52" s="4" t="s">
        <v>38</v>
      </c>
      <c r="B52" s="1">
        <v>45909</v>
      </c>
      <c r="C52">
        <v>5</v>
      </c>
      <c r="D52" s="2">
        <v>26958.43</v>
      </c>
      <c r="E52" t="str">
        <f t="shared" si="0"/>
        <v>CUST0049</v>
      </c>
      <c r="F52">
        <f t="shared" ca="1" si="1"/>
        <v>123</v>
      </c>
      <c r="G52">
        <f t="shared" si="2"/>
        <v>5</v>
      </c>
      <c r="H52" s="2">
        <f t="shared" si="3"/>
        <v>26958.43</v>
      </c>
    </row>
    <row r="53" spans="1:8" x14ac:dyDescent="0.25">
      <c r="A53" s="4" t="s">
        <v>44</v>
      </c>
      <c r="B53" s="1">
        <v>45361</v>
      </c>
      <c r="C53">
        <v>2</v>
      </c>
      <c r="D53" s="2">
        <v>5083.22</v>
      </c>
      <c r="E53" t="str">
        <f t="shared" si="0"/>
        <v>CUST0050</v>
      </c>
      <c r="F53">
        <f t="shared" ca="1" si="1"/>
        <v>671</v>
      </c>
      <c r="G53">
        <f t="shared" si="2"/>
        <v>2</v>
      </c>
      <c r="H53" s="2">
        <f t="shared" si="3"/>
        <v>5083.22</v>
      </c>
    </row>
    <row r="54" spans="1:8" x14ac:dyDescent="0.25">
      <c r="A54" s="4" t="s">
        <v>553</v>
      </c>
      <c r="B54" s="1">
        <v>45812</v>
      </c>
      <c r="C54">
        <v>4</v>
      </c>
      <c r="D54" s="2">
        <v>10541.96</v>
      </c>
      <c r="E54" t="str">
        <f t="shared" si="0"/>
        <v>CUST0051</v>
      </c>
      <c r="F54">
        <f t="shared" ca="1" si="1"/>
        <v>220</v>
      </c>
      <c r="G54">
        <f t="shared" si="2"/>
        <v>4</v>
      </c>
      <c r="H54" s="2">
        <f t="shared" si="3"/>
        <v>10541.96</v>
      </c>
    </row>
    <row r="55" spans="1:8" x14ac:dyDescent="0.25">
      <c r="A55" s="4" t="s">
        <v>196</v>
      </c>
      <c r="B55" s="1">
        <v>45860</v>
      </c>
      <c r="C55">
        <v>7</v>
      </c>
      <c r="D55" s="2">
        <v>38842.89</v>
      </c>
      <c r="E55" t="str">
        <f t="shared" si="0"/>
        <v>CUST0052</v>
      </c>
      <c r="F55">
        <f t="shared" ca="1" si="1"/>
        <v>172</v>
      </c>
      <c r="G55">
        <f t="shared" si="2"/>
        <v>7</v>
      </c>
      <c r="H55" s="2">
        <f t="shared" si="3"/>
        <v>38842.89</v>
      </c>
    </row>
    <row r="56" spans="1:8" x14ac:dyDescent="0.25">
      <c r="A56" s="4" t="s">
        <v>253</v>
      </c>
      <c r="B56" s="1">
        <v>45936</v>
      </c>
      <c r="C56">
        <v>4</v>
      </c>
      <c r="D56" s="2">
        <v>27495.25</v>
      </c>
      <c r="E56" t="str">
        <f t="shared" si="0"/>
        <v>CUST0053</v>
      </c>
      <c r="F56">
        <f t="shared" ca="1" si="1"/>
        <v>96</v>
      </c>
      <c r="G56">
        <f t="shared" si="2"/>
        <v>4</v>
      </c>
      <c r="H56" s="2">
        <f t="shared" si="3"/>
        <v>27495.25</v>
      </c>
    </row>
    <row r="57" spans="1:8" x14ac:dyDescent="0.25">
      <c r="A57" s="4" t="s">
        <v>964</v>
      </c>
      <c r="B57" s="1">
        <v>45933</v>
      </c>
      <c r="C57">
        <v>4</v>
      </c>
      <c r="D57" s="2">
        <v>14444.490000000002</v>
      </c>
      <c r="E57" t="str">
        <f t="shared" si="0"/>
        <v>CUST0054</v>
      </c>
      <c r="F57">
        <f t="shared" ca="1" si="1"/>
        <v>99</v>
      </c>
      <c r="G57">
        <f t="shared" si="2"/>
        <v>4</v>
      </c>
      <c r="H57" s="2">
        <f t="shared" si="3"/>
        <v>14444.490000000002</v>
      </c>
    </row>
    <row r="58" spans="1:8" x14ac:dyDescent="0.25">
      <c r="A58" s="4" t="s">
        <v>462</v>
      </c>
      <c r="B58" s="1">
        <v>45960</v>
      </c>
      <c r="C58">
        <v>5</v>
      </c>
      <c r="D58" s="2">
        <v>29741.32</v>
      </c>
      <c r="E58" t="str">
        <f t="shared" si="0"/>
        <v>CUST0055</v>
      </c>
      <c r="F58">
        <f t="shared" ca="1" si="1"/>
        <v>72</v>
      </c>
      <c r="G58">
        <f t="shared" si="2"/>
        <v>5</v>
      </c>
      <c r="H58" s="2">
        <f t="shared" si="3"/>
        <v>29741.32</v>
      </c>
    </row>
    <row r="59" spans="1:8" x14ac:dyDescent="0.25">
      <c r="A59" s="4" t="s">
        <v>347</v>
      </c>
      <c r="B59" s="1">
        <v>46006</v>
      </c>
      <c r="C59">
        <v>6</v>
      </c>
      <c r="D59" s="2">
        <v>27817.600000000002</v>
      </c>
      <c r="E59" t="str">
        <f t="shared" si="0"/>
        <v>CUST0056</v>
      </c>
      <c r="F59">
        <f t="shared" ca="1" si="1"/>
        <v>26</v>
      </c>
      <c r="G59">
        <f t="shared" si="2"/>
        <v>6</v>
      </c>
      <c r="H59" s="2">
        <f t="shared" si="3"/>
        <v>27817.600000000002</v>
      </c>
    </row>
    <row r="60" spans="1:8" x14ac:dyDescent="0.25">
      <c r="A60" s="4" t="s">
        <v>375</v>
      </c>
      <c r="B60" s="1">
        <v>46005</v>
      </c>
      <c r="C60">
        <v>9</v>
      </c>
      <c r="D60" s="2">
        <v>38000.670000000006</v>
      </c>
      <c r="E60" t="str">
        <f t="shared" si="0"/>
        <v>CUST0057</v>
      </c>
      <c r="F60">
        <f t="shared" ca="1" si="1"/>
        <v>27</v>
      </c>
      <c r="G60">
        <f t="shared" si="2"/>
        <v>9</v>
      </c>
      <c r="H60" s="2">
        <f t="shared" si="3"/>
        <v>38000.670000000006</v>
      </c>
    </row>
    <row r="61" spans="1:8" x14ac:dyDescent="0.25">
      <c r="A61" s="4" t="s">
        <v>500</v>
      </c>
      <c r="B61" s="1">
        <v>45998</v>
      </c>
      <c r="C61">
        <v>5</v>
      </c>
      <c r="D61" s="2">
        <v>20344.7</v>
      </c>
      <c r="E61" t="str">
        <f t="shared" si="0"/>
        <v>CUST0058</v>
      </c>
      <c r="F61">
        <f t="shared" ca="1" si="1"/>
        <v>34</v>
      </c>
      <c r="G61">
        <f t="shared" si="2"/>
        <v>5</v>
      </c>
      <c r="H61" s="2">
        <f t="shared" si="3"/>
        <v>20344.7</v>
      </c>
    </row>
    <row r="62" spans="1:8" x14ac:dyDescent="0.25">
      <c r="A62" s="4" t="s">
        <v>607</v>
      </c>
      <c r="B62" s="1">
        <v>45787</v>
      </c>
      <c r="C62">
        <v>3</v>
      </c>
      <c r="D62" s="2">
        <v>20341.93</v>
      </c>
      <c r="E62" t="str">
        <f t="shared" si="0"/>
        <v>CUST0059</v>
      </c>
      <c r="F62">
        <f t="shared" ca="1" si="1"/>
        <v>245</v>
      </c>
      <c r="G62">
        <f t="shared" si="2"/>
        <v>3</v>
      </c>
      <c r="H62" s="2">
        <f t="shared" si="3"/>
        <v>20341.93</v>
      </c>
    </row>
    <row r="63" spans="1:8" x14ac:dyDescent="0.25">
      <c r="A63" s="4" t="s">
        <v>786</v>
      </c>
      <c r="B63" s="1">
        <v>45848</v>
      </c>
      <c r="C63">
        <v>6</v>
      </c>
      <c r="D63" s="2">
        <v>31968.03</v>
      </c>
      <c r="E63" t="str">
        <f t="shared" si="0"/>
        <v>CUST0060</v>
      </c>
      <c r="F63">
        <f t="shared" ca="1" si="1"/>
        <v>184</v>
      </c>
      <c r="G63">
        <f t="shared" si="2"/>
        <v>6</v>
      </c>
      <c r="H63" s="2">
        <f t="shared" si="3"/>
        <v>31968.03</v>
      </c>
    </row>
    <row r="64" spans="1:8" x14ac:dyDescent="0.25">
      <c r="A64" s="4" t="s">
        <v>1107</v>
      </c>
      <c r="B64" s="1">
        <v>45483</v>
      </c>
      <c r="C64">
        <v>1</v>
      </c>
      <c r="D64" s="2">
        <v>6307.52</v>
      </c>
      <c r="E64" t="str">
        <f t="shared" si="0"/>
        <v>CUST0061</v>
      </c>
      <c r="F64">
        <f t="shared" ca="1" si="1"/>
        <v>549</v>
      </c>
      <c r="G64">
        <f t="shared" si="2"/>
        <v>1</v>
      </c>
      <c r="H64" s="2">
        <f t="shared" si="3"/>
        <v>6307.52</v>
      </c>
    </row>
    <row r="65" spans="1:8" x14ac:dyDescent="0.25">
      <c r="A65" s="4" t="s">
        <v>80</v>
      </c>
      <c r="B65" s="1">
        <v>45913</v>
      </c>
      <c r="C65">
        <v>7</v>
      </c>
      <c r="D65" s="2">
        <v>37707.379999999997</v>
      </c>
      <c r="E65" t="str">
        <f t="shared" si="0"/>
        <v>CUST0062</v>
      </c>
      <c r="F65">
        <f t="shared" ca="1" si="1"/>
        <v>119</v>
      </c>
      <c r="G65">
        <f t="shared" si="2"/>
        <v>7</v>
      </c>
      <c r="H65" s="2">
        <f t="shared" si="3"/>
        <v>37707.379999999997</v>
      </c>
    </row>
    <row r="66" spans="1:8" x14ac:dyDescent="0.25">
      <c r="A66" s="4" t="s">
        <v>248</v>
      </c>
      <c r="B66" s="1">
        <v>46016</v>
      </c>
      <c r="C66">
        <v>6</v>
      </c>
      <c r="D66" s="2">
        <v>23600.69</v>
      </c>
      <c r="E66" t="str">
        <f t="shared" si="0"/>
        <v>CUST0063</v>
      </c>
      <c r="F66">
        <f t="shared" ca="1" si="1"/>
        <v>16</v>
      </c>
      <c r="G66">
        <f t="shared" si="2"/>
        <v>6</v>
      </c>
      <c r="H66" s="2">
        <f t="shared" si="3"/>
        <v>23600.69</v>
      </c>
    </row>
    <row r="67" spans="1:8" x14ac:dyDescent="0.25">
      <c r="A67" s="4" t="s">
        <v>407</v>
      </c>
      <c r="B67" s="1">
        <v>45988</v>
      </c>
      <c r="C67">
        <v>7</v>
      </c>
      <c r="D67" s="2">
        <v>38999.08</v>
      </c>
      <c r="E67" t="str">
        <f t="shared" si="0"/>
        <v>CUST0064</v>
      </c>
      <c r="F67">
        <f t="shared" ca="1" si="1"/>
        <v>44</v>
      </c>
      <c r="G67">
        <f t="shared" si="2"/>
        <v>7</v>
      </c>
      <c r="H67" s="2">
        <f t="shared" si="3"/>
        <v>38999.08</v>
      </c>
    </row>
    <row r="68" spans="1:8" x14ac:dyDescent="0.25">
      <c r="A68" s="4" t="s">
        <v>377</v>
      </c>
      <c r="B68" s="1">
        <v>45797</v>
      </c>
      <c r="C68">
        <v>7</v>
      </c>
      <c r="D68" s="2">
        <v>26334.97</v>
      </c>
      <c r="E68" t="str">
        <f t="shared" si="0"/>
        <v>CUST0065</v>
      </c>
      <c r="F68">
        <f t="shared" ca="1" si="1"/>
        <v>235</v>
      </c>
      <c r="G68">
        <f t="shared" si="2"/>
        <v>7</v>
      </c>
      <c r="H68" s="2">
        <f t="shared" si="3"/>
        <v>26334.97</v>
      </c>
    </row>
    <row r="69" spans="1:8" x14ac:dyDescent="0.25">
      <c r="A69" s="4" t="s">
        <v>36</v>
      </c>
      <c r="B69" s="1">
        <v>46012</v>
      </c>
      <c r="C69">
        <v>12</v>
      </c>
      <c r="D69" s="2">
        <v>54125.440000000002</v>
      </c>
      <c r="E69" t="str">
        <f t="shared" ref="E69:E132" si="4">A69</f>
        <v>CUST0066</v>
      </c>
      <c r="F69">
        <f t="shared" ref="F69:F132" ca="1" si="5">TODAY()-B69</f>
        <v>20</v>
      </c>
      <c r="G69">
        <f t="shared" ref="G69:G132" si="6">C69</f>
        <v>12</v>
      </c>
      <c r="H69" s="2">
        <f t="shared" ref="H69:H132" si="7">D69</f>
        <v>54125.440000000002</v>
      </c>
    </row>
    <row r="70" spans="1:8" x14ac:dyDescent="0.25">
      <c r="A70" s="4" t="s">
        <v>170</v>
      </c>
      <c r="B70" s="1">
        <v>45819</v>
      </c>
      <c r="C70">
        <v>5</v>
      </c>
      <c r="D70" s="2">
        <v>28906.720000000001</v>
      </c>
      <c r="E70" t="str">
        <f t="shared" si="4"/>
        <v>CUST0067</v>
      </c>
      <c r="F70">
        <f t="shared" ca="1" si="5"/>
        <v>213</v>
      </c>
      <c r="G70">
        <f t="shared" si="6"/>
        <v>5</v>
      </c>
      <c r="H70" s="2">
        <f t="shared" si="7"/>
        <v>28906.720000000001</v>
      </c>
    </row>
    <row r="71" spans="1:8" x14ac:dyDescent="0.25">
      <c r="A71" s="4" t="s">
        <v>299</v>
      </c>
      <c r="B71" s="1">
        <v>45384</v>
      </c>
      <c r="C71">
        <v>1</v>
      </c>
      <c r="D71" s="2">
        <v>4498.88</v>
      </c>
      <c r="E71" t="str">
        <f t="shared" si="4"/>
        <v>CUST0068</v>
      </c>
      <c r="F71">
        <f t="shared" ca="1" si="5"/>
        <v>648</v>
      </c>
      <c r="G71">
        <f t="shared" si="6"/>
        <v>1</v>
      </c>
      <c r="H71" s="2">
        <f t="shared" si="7"/>
        <v>4498.88</v>
      </c>
    </row>
    <row r="72" spans="1:8" x14ac:dyDescent="0.25">
      <c r="A72" s="4" t="s">
        <v>619</v>
      </c>
      <c r="B72" s="1">
        <v>45876</v>
      </c>
      <c r="C72">
        <v>3</v>
      </c>
      <c r="D72" s="2">
        <v>16728.57</v>
      </c>
      <c r="E72" t="str">
        <f t="shared" si="4"/>
        <v>CUST0069</v>
      </c>
      <c r="F72">
        <f t="shared" ca="1" si="5"/>
        <v>156</v>
      </c>
      <c r="G72">
        <f t="shared" si="6"/>
        <v>3</v>
      </c>
      <c r="H72" s="2">
        <f t="shared" si="7"/>
        <v>16728.57</v>
      </c>
    </row>
    <row r="73" spans="1:8" x14ac:dyDescent="0.25">
      <c r="A73" s="4" t="s">
        <v>118</v>
      </c>
      <c r="B73" s="1">
        <v>45979</v>
      </c>
      <c r="C73">
        <v>5</v>
      </c>
      <c r="D73" s="2">
        <v>28636.230000000003</v>
      </c>
      <c r="E73" t="str">
        <f t="shared" si="4"/>
        <v>CUST0070</v>
      </c>
      <c r="F73">
        <f t="shared" ca="1" si="5"/>
        <v>53</v>
      </c>
      <c r="G73">
        <f t="shared" si="6"/>
        <v>5</v>
      </c>
      <c r="H73" s="2">
        <f t="shared" si="7"/>
        <v>28636.230000000003</v>
      </c>
    </row>
    <row r="74" spans="1:8" x14ac:dyDescent="0.25">
      <c r="A74" s="4" t="s">
        <v>260</v>
      </c>
      <c r="B74" s="1">
        <v>45998</v>
      </c>
      <c r="C74">
        <v>1</v>
      </c>
      <c r="D74" s="2">
        <v>1578.87</v>
      </c>
      <c r="E74" t="str">
        <f t="shared" si="4"/>
        <v>CUST0071</v>
      </c>
      <c r="F74">
        <f t="shared" ca="1" si="5"/>
        <v>34</v>
      </c>
      <c r="G74">
        <f t="shared" si="6"/>
        <v>1</v>
      </c>
      <c r="H74" s="2">
        <f t="shared" si="7"/>
        <v>1578.87</v>
      </c>
    </row>
    <row r="75" spans="1:8" x14ac:dyDescent="0.25">
      <c r="A75" s="4" t="s">
        <v>284</v>
      </c>
      <c r="B75" s="1">
        <v>45993</v>
      </c>
      <c r="C75">
        <v>8</v>
      </c>
      <c r="D75" s="2">
        <v>45251.630000000005</v>
      </c>
      <c r="E75" t="str">
        <f t="shared" si="4"/>
        <v>CUST0072</v>
      </c>
      <c r="F75">
        <f t="shared" ca="1" si="5"/>
        <v>39</v>
      </c>
      <c r="G75">
        <f t="shared" si="6"/>
        <v>8</v>
      </c>
      <c r="H75" s="2">
        <f t="shared" si="7"/>
        <v>45251.630000000005</v>
      </c>
    </row>
    <row r="76" spans="1:8" x14ac:dyDescent="0.25">
      <c r="A76" s="4" t="s">
        <v>238</v>
      </c>
      <c r="B76" s="1">
        <v>45693</v>
      </c>
      <c r="C76">
        <v>4</v>
      </c>
      <c r="D76" s="2">
        <v>16682.660000000003</v>
      </c>
      <c r="E76" t="str">
        <f t="shared" si="4"/>
        <v>CUST0073</v>
      </c>
      <c r="F76">
        <f t="shared" ca="1" si="5"/>
        <v>339</v>
      </c>
      <c r="G76">
        <f t="shared" si="6"/>
        <v>4</v>
      </c>
      <c r="H76" s="2">
        <f t="shared" si="7"/>
        <v>16682.660000000003</v>
      </c>
    </row>
    <row r="77" spans="1:8" x14ac:dyDescent="0.25">
      <c r="A77" s="4" t="s">
        <v>748</v>
      </c>
      <c r="B77" s="1">
        <v>45891</v>
      </c>
      <c r="C77">
        <v>2</v>
      </c>
      <c r="D77" s="2">
        <v>12612.1</v>
      </c>
      <c r="E77" t="str">
        <f t="shared" si="4"/>
        <v>CUST0074</v>
      </c>
      <c r="F77">
        <f t="shared" ca="1" si="5"/>
        <v>141</v>
      </c>
      <c r="G77">
        <f t="shared" si="6"/>
        <v>2</v>
      </c>
      <c r="H77" s="2">
        <f t="shared" si="7"/>
        <v>12612.1</v>
      </c>
    </row>
    <row r="78" spans="1:8" x14ac:dyDescent="0.25">
      <c r="A78" s="4" t="s">
        <v>142</v>
      </c>
      <c r="B78" s="1">
        <v>45937</v>
      </c>
      <c r="C78">
        <v>2</v>
      </c>
      <c r="D78" s="2">
        <v>19224.769999999997</v>
      </c>
      <c r="E78" t="str">
        <f t="shared" si="4"/>
        <v>CUST0075</v>
      </c>
      <c r="F78">
        <f t="shared" ca="1" si="5"/>
        <v>95</v>
      </c>
      <c r="G78">
        <f t="shared" si="6"/>
        <v>2</v>
      </c>
      <c r="H78" s="2">
        <f t="shared" si="7"/>
        <v>19224.769999999997</v>
      </c>
    </row>
    <row r="79" spans="1:8" x14ac:dyDescent="0.25">
      <c r="A79" s="4" t="s">
        <v>755</v>
      </c>
      <c r="B79" s="1">
        <v>46012</v>
      </c>
      <c r="C79">
        <v>5</v>
      </c>
      <c r="D79" s="2">
        <v>19230.38</v>
      </c>
      <c r="E79" t="str">
        <f t="shared" si="4"/>
        <v>CUST0076</v>
      </c>
      <c r="F79">
        <f t="shared" ca="1" si="5"/>
        <v>20</v>
      </c>
      <c r="G79">
        <f t="shared" si="6"/>
        <v>5</v>
      </c>
      <c r="H79" s="2">
        <f t="shared" si="7"/>
        <v>19230.38</v>
      </c>
    </row>
    <row r="80" spans="1:8" x14ac:dyDescent="0.25">
      <c r="A80" s="4" t="s">
        <v>193</v>
      </c>
      <c r="B80" s="1">
        <v>45895</v>
      </c>
      <c r="C80">
        <v>3</v>
      </c>
      <c r="D80" s="2">
        <v>7656.1500000000005</v>
      </c>
      <c r="E80" t="str">
        <f t="shared" si="4"/>
        <v>CUST0077</v>
      </c>
      <c r="F80">
        <f t="shared" ca="1" si="5"/>
        <v>137</v>
      </c>
      <c r="G80">
        <f t="shared" si="6"/>
        <v>3</v>
      </c>
      <c r="H80" s="2">
        <f t="shared" si="7"/>
        <v>7656.1500000000005</v>
      </c>
    </row>
    <row r="81" spans="1:8" x14ac:dyDescent="0.25">
      <c r="A81" s="4" t="s">
        <v>342</v>
      </c>
      <c r="B81" s="1">
        <v>45599</v>
      </c>
      <c r="C81">
        <v>4</v>
      </c>
      <c r="D81" s="2">
        <v>21533.86</v>
      </c>
      <c r="E81" t="str">
        <f t="shared" si="4"/>
        <v>CUST0078</v>
      </c>
      <c r="F81">
        <f t="shared" ca="1" si="5"/>
        <v>433</v>
      </c>
      <c r="G81">
        <f t="shared" si="6"/>
        <v>4</v>
      </c>
      <c r="H81" s="2">
        <f t="shared" si="7"/>
        <v>21533.86</v>
      </c>
    </row>
    <row r="82" spans="1:8" x14ac:dyDescent="0.25">
      <c r="A82" s="4" t="s">
        <v>140</v>
      </c>
      <c r="B82" s="1">
        <v>45668</v>
      </c>
      <c r="C82">
        <v>2</v>
      </c>
      <c r="D82" s="2">
        <v>14464.84</v>
      </c>
      <c r="E82" t="str">
        <f t="shared" si="4"/>
        <v>CUST0079</v>
      </c>
      <c r="F82">
        <f t="shared" ca="1" si="5"/>
        <v>364</v>
      </c>
      <c r="G82">
        <f t="shared" si="6"/>
        <v>2</v>
      </c>
      <c r="H82" s="2">
        <f t="shared" si="7"/>
        <v>14464.84</v>
      </c>
    </row>
    <row r="83" spans="1:8" x14ac:dyDescent="0.25">
      <c r="A83" s="4" t="s">
        <v>96</v>
      </c>
      <c r="B83" s="1">
        <v>45867</v>
      </c>
      <c r="C83">
        <v>5</v>
      </c>
      <c r="D83" s="2">
        <v>33144.450000000004</v>
      </c>
      <c r="E83" t="str">
        <f t="shared" si="4"/>
        <v>CUST0080</v>
      </c>
      <c r="F83">
        <f t="shared" ca="1" si="5"/>
        <v>165</v>
      </c>
      <c r="G83">
        <f t="shared" si="6"/>
        <v>5</v>
      </c>
      <c r="H83" s="2">
        <f t="shared" si="7"/>
        <v>33144.450000000004</v>
      </c>
    </row>
    <row r="84" spans="1:8" x14ac:dyDescent="0.25">
      <c r="A84" s="4" t="s">
        <v>144</v>
      </c>
      <c r="B84" s="1">
        <v>46008</v>
      </c>
      <c r="C84">
        <v>4</v>
      </c>
      <c r="D84" s="2">
        <v>23946.329999999998</v>
      </c>
      <c r="E84" t="str">
        <f t="shared" si="4"/>
        <v>CUST0081</v>
      </c>
      <c r="F84">
        <f t="shared" ca="1" si="5"/>
        <v>24</v>
      </c>
      <c r="G84">
        <f t="shared" si="6"/>
        <v>4</v>
      </c>
      <c r="H84" s="2">
        <f t="shared" si="7"/>
        <v>23946.329999999998</v>
      </c>
    </row>
    <row r="85" spans="1:8" x14ac:dyDescent="0.25">
      <c r="A85" s="4" t="s">
        <v>395</v>
      </c>
      <c r="B85" s="1">
        <v>45911</v>
      </c>
      <c r="C85">
        <v>2</v>
      </c>
      <c r="D85" s="2">
        <v>2220.5</v>
      </c>
      <c r="E85" t="str">
        <f t="shared" si="4"/>
        <v>CUST0082</v>
      </c>
      <c r="F85">
        <f t="shared" ca="1" si="5"/>
        <v>121</v>
      </c>
      <c r="G85">
        <f t="shared" si="6"/>
        <v>2</v>
      </c>
      <c r="H85" s="2">
        <f t="shared" si="7"/>
        <v>2220.5</v>
      </c>
    </row>
    <row r="86" spans="1:8" x14ac:dyDescent="0.25">
      <c r="A86" s="4" t="s">
        <v>1162</v>
      </c>
      <c r="B86" s="1">
        <v>45678</v>
      </c>
      <c r="C86">
        <v>1</v>
      </c>
      <c r="D86" s="2">
        <v>8029.89</v>
      </c>
      <c r="E86" t="str">
        <f t="shared" si="4"/>
        <v>CUST0083</v>
      </c>
      <c r="F86">
        <f t="shared" ca="1" si="5"/>
        <v>354</v>
      </c>
      <c r="G86">
        <f t="shared" si="6"/>
        <v>1</v>
      </c>
      <c r="H86" s="2">
        <f t="shared" si="7"/>
        <v>8029.89</v>
      </c>
    </row>
    <row r="87" spans="1:8" x14ac:dyDescent="0.25">
      <c r="A87" s="4" t="s">
        <v>668</v>
      </c>
      <c r="B87" s="1">
        <v>45836</v>
      </c>
      <c r="C87">
        <v>3</v>
      </c>
      <c r="D87" s="2">
        <v>7249.8099999999995</v>
      </c>
      <c r="E87" t="str">
        <f t="shared" si="4"/>
        <v>CUST0084</v>
      </c>
      <c r="F87">
        <f t="shared" ca="1" si="5"/>
        <v>196</v>
      </c>
      <c r="G87">
        <f t="shared" si="6"/>
        <v>3</v>
      </c>
      <c r="H87" s="2">
        <f t="shared" si="7"/>
        <v>7249.8099999999995</v>
      </c>
    </row>
    <row r="88" spans="1:8" x14ac:dyDescent="0.25">
      <c r="A88" s="4" t="s">
        <v>853</v>
      </c>
      <c r="B88" s="1">
        <v>45421</v>
      </c>
      <c r="C88">
        <v>2</v>
      </c>
      <c r="D88" s="2">
        <v>6400.89</v>
      </c>
      <c r="E88" t="str">
        <f t="shared" si="4"/>
        <v>CUST0085</v>
      </c>
      <c r="F88">
        <f t="shared" ca="1" si="5"/>
        <v>611</v>
      </c>
      <c r="G88">
        <f t="shared" si="6"/>
        <v>2</v>
      </c>
      <c r="H88" s="2">
        <f t="shared" si="7"/>
        <v>6400.89</v>
      </c>
    </row>
    <row r="89" spans="1:8" x14ac:dyDescent="0.25">
      <c r="A89" s="4" t="s">
        <v>235</v>
      </c>
      <c r="B89" s="1">
        <v>45979</v>
      </c>
      <c r="C89">
        <v>3</v>
      </c>
      <c r="D89" s="2">
        <v>26211.48</v>
      </c>
      <c r="E89" t="str">
        <f t="shared" si="4"/>
        <v>CUST0086</v>
      </c>
      <c r="F89">
        <f t="shared" ca="1" si="5"/>
        <v>53</v>
      </c>
      <c r="G89">
        <f t="shared" si="6"/>
        <v>3</v>
      </c>
      <c r="H89" s="2">
        <f t="shared" si="7"/>
        <v>26211.48</v>
      </c>
    </row>
    <row r="90" spans="1:8" x14ac:dyDescent="0.25">
      <c r="A90" s="4" t="s">
        <v>255</v>
      </c>
      <c r="B90" s="1">
        <v>45975</v>
      </c>
      <c r="C90">
        <v>8</v>
      </c>
      <c r="D90" s="2">
        <v>31543.379999999997</v>
      </c>
      <c r="E90" t="str">
        <f t="shared" si="4"/>
        <v>CUST0087</v>
      </c>
      <c r="F90">
        <f t="shared" ca="1" si="5"/>
        <v>57</v>
      </c>
      <c r="G90">
        <f t="shared" si="6"/>
        <v>8</v>
      </c>
      <c r="H90" s="2">
        <f t="shared" si="7"/>
        <v>31543.379999999997</v>
      </c>
    </row>
    <row r="91" spans="1:8" x14ac:dyDescent="0.25">
      <c r="A91" s="4" t="s">
        <v>537</v>
      </c>
      <c r="B91" s="1">
        <v>45895</v>
      </c>
      <c r="C91">
        <v>5</v>
      </c>
      <c r="D91" s="2">
        <v>37556.49</v>
      </c>
      <c r="E91" t="str">
        <f t="shared" si="4"/>
        <v>CUST0088</v>
      </c>
      <c r="F91">
        <f t="shared" ca="1" si="5"/>
        <v>137</v>
      </c>
      <c r="G91">
        <f t="shared" si="6"/>
        <v>5</v>
      </c>
      <c r="H91" s="2">
        <f t="shared" si="7"/>
        <v>37556.49</v>
      </c>
    </row>
    <row r="92" spans="1:8" x14ac:dyDescent="0.25">
      <c r="A92" s="4" t="s">
        <v>599</v>
      </c>
      <c r="B92" s="1">
        <v>45993</v>
      </c>
      <c r="C92">
        <v>4</v>
      </c>
      <c r="D92" s="2">
        <v>31721.43</v>
      </c>
      <c r="E92" t="str">
        <f t="shared" si="4"/>
        <v>CUST0089</v>
      </c>
      <c r="F92">
        <f t="shared" ca="1" si="5"/>
        <v>39</v>
      </c>
      <c r="G92">
        <f t="shared" si="6"/>
        <v>4</v>
      </c>
      <c r="H92" s="2">
        <f t="shared" si="7"/>
        <v>31721.43</v>
      </c>
    </row>
    <row r="93" spans="1:8" x14ac:dyDescent="0.25">
      <c r="A93" s="4" t="s">
        <v>46</v>
      </c>
      <c r="B93" s="1">
        <v>45986</v>
      </c>
      <c r="C93">
        <v>3</v>
      </c>
      <c r="D93" s="2">
        <v>14804.55</v>
      </c>
      <c r="E93" t="str">
        <f t="shared" si="4"/>
        <v>CUST0090</v>
      </c>
      <c r="F93">
        <f t="shared" ca="1" si="5"/>
        <v>46</v>
      </c>
      <c r="G93">
        <f t="shared" si="6"/>
        <v>3</v>
      </c>
      <c r="H93" s="2">
        <f t="shared" si="7"/>
        <v>14804.55</v>
      </c>
    </row>
    <row r="94" spans="1:8" x14ac:dyDescent="0.25">
      <c r="A94" s="4" t="s">
        <v>60</v>
      </c>
      <c r="B94" s="1">
        <v>45545</v>
      </c>
      <c r="C94">
        <v>2</v>
      </c>
      <c r="D94" s="2">
        <v>17088.05</v>
      </c>
      <c r="E94" t="str">
        <f t="shared" si="4"/>
        <v>CUST0091</v>
      </c>
      <c r="F94">
        <f t="shared" ca="1" si="5"/>
        <v>487</v>
      </c>
      <c r="G94">
        <f t="shared" si="6"/>
        <v>2</v>
      </c>
      <c r="H94" s="2">
        <f t="shared" si="7"/>
        <v>17088.05</v>
      </c>
    </row>
    <row r="95" spans="1:8" x14ac:dyDescent="0.25">
      <c r="A95" s="4" t="s">
        <v>1119</v>
      </c>
      <c r="B95" s="1">
        <v>45759</v>
      </c>
      <c r="C95">
        <v>3</v>
      </c>
      <c r="D95" s="2">
        <v>26743.67</v>
      </c>
      <c r="E95" t="str">
        <f t="shared" si="4"/>
        <v>CUST0092</v>
      </c>
      <c r="F95">
        <f t="shared" ca="1" si="5"/>
        <v>273</v>
      </c>
      <c r="G95">
        <f t="shared" si="6"/>
        <v>3</v>
      </c>
      <c r="H95" s="2">
        <f t="shared" si="7"/>
        <v>26743.67</v>
      </c>
    </row>
    <row r="96" spans="1:8" x14ac:dyDescent="0.25">
      <c r="A96" s="4" t="s">
        <v>187</v>
      </c>
      <c r="B96" s="1">
        <v>45902</v>
      </c>
      <c r="C96">
        <v>3</v>
      </c>
      <c r="D96" s="2">
        <v>9229.4399999999987</v>
      </c>
      <c r="E96" t="str">
        <f t="shared" si="4"/>
        <v>CUST0093</v>
      </c>
      <c r="F96">
        <f t="shared" ca="1" si="5"/>
        <v>130</v>
      </c>
      <c r="G96">
        <f t="shared" si="6"/>
        <v>3</v>
      </c>
      <c r="H96" s="2">
        <f t="shared" si="7"/>
        <v>9229.4399999999987</v>
      </c>
    </row>
    <row r="97" spans="1:8" x14ac:dyDescent="0.25">
      <c r="A97" s="4" t="s">
        <v>1029</v>
      </c>
      <c r="B97" s="1">
        <v>45811</v>
      </c>
      <c r="C97">
        <v>2</v>
      </c>
      <c r="D97" s="2">
        <v>17051.14</v>
      </c>
      <c r="E97" t="str">
        <f t="shared" si="4"/>
        <v>CUST0094</v>
      </c>
      <c r="F97">
        <f t="shared" ca="1" si="5"/>
        <v>221</v>
      </c>
      <c r="G97">
        <f t="shared" si="6"/>
        <v>2</v>
      </c>
      <c r="H97" s="2">
        <f t="shared" si="7"/>
        <v>17051.14</v>
      </c>
    </row>
    <row r="98" spans="1:8" x14ac:dyDescent="0.25">
      <c r="A98" s="4" t="s">
        <v>843</v>
      </c>
      <c r="B98" s="1">
        <v>45847</v>
      </c>
      <c r="C98">
        <v>3</v>
      </c>
      <c r="D98" s="2">
        <v>8804.35</v>
      </c>
      <c r="E98" t="str">
        <f t="shared" si="4"/>
        <v>CUST0095</v>
      </c>
      <c r="F98">
        <f t="shared" ca="1" si="5"/>
        <v>185</v>
      </c>
      <c r="G98">
        <f t="shared" si="6"/>
        <v>3</v>
      </c>
      <c r="H98" s="2">
        <f t="shared" si="7"/>
        <v>8804.35</v>
      </c>
    </row>
    <row r="99" spans="1:8" x14ac:dyDescent="0.25">
      <c r="A99" s="4" t="s">
        <v>168</v>
      </c>
      <c r="B99" s="1">
        <v>45993</v>
      </c>
      <c r="C99">
        <v>6</v>
      </c>
      <c r="D99" s="2">
        <v>35066.71</v>
      </c>
      <c r="E99" t="str">
        <f t="shared" si="4"/>
        <v>CUST0096</v>
      </c>
      <c r="F99">
        <f t="shared" ca="1" si="5"/>
        <v>39</v>
      </c>
      <c r="G99">
        <f t="shared" si="6"/>
        <v>6</v>
      </c>
      <c r="H99" s="2">
        <f t="shared" si="7"/>
        <v>35066.71</v>
      </c>
    </row>
    <row r="100" spans="1:8" x14ac:dyDescent="0.25">
      <c r="A100" s="4" t="s">
        <v>33</v>
      </c>
      <c r="B100" s="1">
        <v>45949</v>
      </c>
      <c r="C100">
        <v>4</v>
      </c>
      <c r="D100" s="2">
        <v>16051.52</v>
      </c>
      <c r="E100" t="str">
        <f t="shared" si="4"/>
        <v>CUST0097</v>
      </c>
      <c r="F100">
        <f t="shared" ca="1" si="5"/>
        <v>83</v>
      </c>
      <c r="G100">
        <f t="shared" si="6"/>
        <v>4</v>
      </c>
      <c r="H100" s="2">
        <f t="shared" si="7"/>
        <v>16051.52</v>
      </c>
    </row>
    <row r="101" spans="1:8" x14ac:dyDescent="0.25">
      <c r="A101" s="4" t="s">
        <v>272</v>
      </c>
      <c r="B101" s="1">
        <v>45817</v>
      </c>
      <c r="C101">
        <v>5</v>
      </c>
      <c r="D101" s="2">
        <v>22151.14</v>
      </c>
      <c r="E101" t="str">
        <f t="shared" si="4"/>
        <v>CUST0098</v>
      </c>
      <c r="F101">
        <f t="shared" ca="1" si="5"/>
        <v>215</v>
      </c>
      <c r="G101">
        <f t="shared" si="6"/>
        <v>5</v>
      </c>
      <c r="H101" s="2">
        <f t="shared" si="7"/>
        <v>22151.14</v>
      </c>
    </row>
    <row r="102" spans="1:8" x14ac:dyDescent="0.25">
      <c r="A102" s="4" t="s">
        <v>176</v>
      </c>
      <c r="B102" s="1">
        <v>46021</v>
      </c>
      <c r="C102">
        <v>7</v>
      </c>
      <c r="D102" s="2">
        <v>37302.569999999992</v>
      </c>
      <c r="E102" t="str">
        <f t="shared" si="4"/>
        <v>CUST0099</v>
      </c>
      <c r="F102">
        <f t="shared" ca="1" si="5"/>
        <v>11</v>
      </c>
      <c r="G102">
        <f t="shared" si="6"/>
        <v>7</v>
      </c>
      <c r="H102" s="2">
        <f t="shared" si="7"/>
        <v>37302.569999999992</v>
      </c>
    </row>
    <row r="103" spans="1:8" x14ac:dyDescent="0.25">
      <c r="A103" s="4" t="s">
        <v>116</v>
      </c>
      <c r="B103" s="1">
        <v>45979</v>
      </c>
      <c r="C103">
        <v>3</v>
      </c>
      <c r="D103" s="2">
        <v>19695.079999999998</v>
      </c>
      <c r="E103" t="str">
        <f t="shared" si="4"/>
        <v>CUST0100</v>
      </c>
      <c r="F103">
        <f t="shared" ca="1" si="5"/>
        <v>53</v>
      </c>
      <c r="G103">
        <f t="shared" si="6"/>
        <v>3</v>
      </c>
      <c r="H103" s="2">
        <f t="shared" si="7"/>
        <v>19695.079999999998</v>
      </c>
    </row>
    <row r="104" spans="1:8" x14ac:dyDescent="0.25">
      <c r="A104" s="4" t="s">
        <v>882</v>
      </c>
      <c r="B104" s="1">
        <v>45825</v>
      </c>
      <c r="C104">
        <v>1</v>
      </c>
      <c r="D104" s="2">
        <v>4848.0600000000004</v>
      </c>
      <c r="E104" t="str">
        <f t="shared" si="4"/>
        <v>CUST0101</v>
      </c>
      <c r="F104">
        <f t="shared" ca="1" si="5"/>
        <v>207</v>
      </c>
      <c r="G104">
        <f t="shared" si="6"/>
        <v>1</v>
      </c>
      <c r="H104" s="2">
        <f t="shared" si="7"/>
        <v>4848.0600000000004</v>
      </c>
    </row>
    <row r="105" spans="1:8" x14ac:dyDescent="0.25">
      <c r="A105" s="4" t="s">
        <v>135</v>
      </c>
      <c r="B105" s="1">
        <v>45808</v>
      </c>
      <c r="C105">
        <v>3</v>
      </c>
      <c r="D105" s="2">
        <v>10478.02</v>
      </c>
      <c r="E105" t="str">
        <f t="shared" si="4"/>
        <v>CUST0102</v>
      </c>
      <c r="F105">
        <f t="shared" ca="1" si="5"/>
        <v>224</v>
      </c>
      <c r="G105">
        <f t="shared" si="6"/>
        <v>3</v>
      </c>
      <c r="H105" s="2">
        <f t="shared" si="7"/>
        <v>10478.02</v>
      </c>
    </row>
    <row r="106" spans="1:8" x14ac:dyDescent="0.25">
      <c r="A106" s="4" t="s">
        <v>339</v>
      </c>
      <c r="B106" s="1">
        <v>45807</v>
      </c>
      <c r="C106">
        <v>4</v>
      </c>
      <c r="D106" s="2">
        <v>27447.85</v>
      </c>
      <c r="E106" t="str">
        <f t="shared" si="4"/>
        <v>CUST0103</v>
      </c>
      <c r="F106">
        <f t="shared" ca="1" si="5"/>
        <v>225</v>
      </c>
      <c r="G106">
        <f t="shared" si="6"/>
        <v>4</v>
      </c>
      <c r="H106" s="2">
        <f t="shared" si="7"/>
        <v>27447.85</v>
      </c>
    </row>
    <row r="107" spans="1:8" x14ac:dyDescent="0.25">
      <c r="A107" s="4" t="s">
        <v>948</v>
      </c>
      <c r="B107" s="1">
        <v>45682</v>
      </c>
      <c r="C107">
        <v>2</v>
      </c>
      <c r="D107" s="2">
        <v>11309.900000000001</v>
      </c>
      <c r="E107" t="str">
        <f t="shared" si="4"/>
        <v>CUST0104</v>
      </c>
      <c r="F107">
        <f t="shared" ca="1" si="5"/>
        <v>350</v>
      </c>
      <c r="G107">
        <f t="shared" si="6"/>
        <v>2</v>
      </c>
      <c r="H107" s="2">
        <f t="shared" si="7"/>
        <v>11309.900000000001</v>
      </c>
    </row>
    <row r="108" spans="1:8" x14ac:dyDescent="0.25">
      <c r="A108" s="4" t="s">
        <v>559</v>
      </c>
      <c r="B108" s="1">
        <v>45885</v>
      </c>
      <c r="C108">
        <v>2</v>
      </c>
      <c r="D108" s="2">
        <v>5048.83</v>
      </c>
      <c r="E108" t="str">
        <f t="shared" si="4"/>
        <v>CUST0105</v>
      </c>
      <c r="F108">
        <f t="shared" ca="1" si="5"/>
        <v>147</v>
      </c>
      <c r="G108">
        <f t="shared" si="6"/>
        <v>2</v>
      </c>
      <c r="H108" s="2">
        <f t="shared" si="7"/>
        <v>5048.83</v>
      </c>
    </row>
    <row r="109" spans="1:8" x14ac:dyDescent="0.25">
      <c r="A109" s="4" t="s">
        <v>18</v>
      </c>
      <c r="B109" s="1">
        <v>45829</v>
      </c>
      <c r="C109">
        <v>3</v>
      </c>
      <c r="D109" s="2">
        <v>10926.93</v>
      </c>
      <c r="E109" t="str">
        <f t="shared" si="4"/>
        <v>CUST0106</v>
      </c>
      <c r="F109">
        <f t="shared" ca="1" si="5"/>
        <v>203</v>
      </c>
      <c r="G109">
        <f t="shared" si="6"/>
        <v>3</v>
      </c>
      <c r="H109" s="2">
        <f t="shared" si="7"/>
        <v>10926.93</v>
      </c>
    </row>
    <row r="110" spans="1:8" x14ac:dyDescent="0.25">
      <c r="A110" s="4" t="s">
        <v>614</v>
      </c>
      <c r="B110" s="1">
        <v>45946</v>
      </c>
      <c r="C110">
        <v>6</v>
      </c>
      <c r="D110" s="2">
        <v>39724.119999999995</v>
      </c>
      <c r="E110" t="str">
        <f t="shared" si="4"/>
        <v>CUST0107</v>
      </c>
      <c r="F110">
        <f t="shared" ca="1" si="5"/>
        <v>86</v>
      </c>
      <c r="G110">
        <f t="shared" si="6"/>
        <v>6</v>
      </c>
      <c r="H110" s="2">
        <f t="shared" si="7"/>
        <v>39724.119999999995</v>
      </c>
    </row>
    <row r="111" spans="1:8" x14ac:dyDescent="0.25">
      <c r="A111" s="4" t="s">
        <v>469</v>
      </c>
      <c r="B111" s="1">
        <v>45945</v>
      </c>
      <c r="C111">
        <v>4</v>
      </c>
      <c r="D111" s="2">
        <v>25089.85</v>
      </c>
      <c r="E111" t="str">
        <f t="shared" si="4"/>
        <v>CUST0108</v>
      </c>
      <c r="F111">
        <f t="shared" ca="1" si="5"/>
        <v>87</v>
      </c>
      <c r="G111">
        <f t="shared" si="6"/>
        <v>4</v>
      </c>
      <c r="H111" s="2">
        <f t="shared" si="7"/>
        <v>25089.85</v>
      </c>
    </row>
    <row r="112" spans="1:8" x14ac:dyDescent="0.25">
      <c r="A112" s="4" t="s">
        <v>201</v>
      </c>
      <c r="B112" s="1">
        <v>45915</v>
      </c>
      <c r="C112">
        <v>6</v>
      </c>
      <c r="D112" s="2">
        <v>27232.190000000002</v>
      </c>
      <c r="E112" t="str">
        <f t="shared" si="4"/>
        <v>CUST0109</v>
      </c>
      <c r="F112">
        <f t="shared" ca="1" si="5"/>
        <v>117</v>
      </c>
      <c r="G112">
        <f t="shared" si="6"/>
        <v>6</v>
      </c>
      <c r="H112" s="2">
        <f t="shared" si="7"/>
        <v>27232.190000000002</v>
      </c>
    </row>
    <row r="113" spans="1:8" x14ac:dyDescent="0.25">
      <c r="A113" s="4" t="s">
        <v>547</v>
      </c>
      <c r="B113" s="1">
        <v>46015</v>
      </c>
      <c r="C113">
        <v>6</v>
      </c>
      <c r="D113" s="2">
        <v>41154.899999999994</v>
      </c>
      <c r="E113" t="str">
        <f t="shared" si="4"/>
        <v>CUST0110</v>
      </c>
      <c r="F113">
        <f t="shared" ca="1" si="5"/>
        <v>17</v>
      </c>
      <c r="G113">
        <f t="shared" si="6"/>
        <v>6</v>
      </c>
      <c r="H113" s="2">
        <f t="shared" si="7"/>
        <v>41154.899999999994</v>
      </c>
    </row>
    <row r="114" spans="1:8" x14ac:dyDescent="0.25">
      <c r="A114" s="4" t="s">
        <v>218</v>
      </c>
      <c r="B114" s="1">
        <v>46020</v>
      </c>
      <c r="C114">
        <v>4</v>
      </c>
      <c r="D114" s="2">
        <v>17134.79</v>
      </c>
      <c r="E114" t="str">
        <f t="shared" si="4"/>
        <v>CUST0111</v>
      </c>
      <c r="F114">
        <f t="shared" ca="1" si="5"/>
        <v>12</v>
      </c>
      <c r="G114">
        <f t="shared" si="6"/>
        <v>4</v>
      </c>
      <c r="H114" s="2">
        <f t="shared" si="7"/>
        <v>17134.79</v>
      </c>
    </row>
    <row r="115" spans="1:8" x14ac:dyDescent="0.25">
      <c r="A115" s="4" t="s">
        <v>76</v>
      </c>
      <c r="B115" s="1">
        <v>45725</v>
      </c>
      <c r="C115">
        <v>6</v>
      </c>
      <c r="D115" s="2">
        <v>28419.94</v>
      </c>
      <c r="E115" t="str">
        <f t="shared" si="4"/>
        <v>CUST0112</v>
      </c>
      <c r="F115">
        <f t="shared" ca="1" si="5"/>
        <v>307</v>
      </c>
      <c r="G115">
        <f t="shared" si="6"/>
        <v>6</v>
      </c>
      <c r="H115" s="2">
        <f t="shared" si="7"/>
        <v>28419.94</v>
      </c>
    </row>
    <row r="116" spans="1:8" x14ac:dyDescent="0.25">
      <c r="A116" s="4" t="s">
        <v>275</v>
      </c>
      <c r="B116" s="1">
        <v>45943</v>
      </c>
      <c r="C116">
        <v>6</v>
      </c>
      <c r="D116" s="2">
        <v>39824.29</v>
      </c>
      <c r="E116" t="str">
        <f t="shared" si="4"/>
        <v>CUST0113</v>
      </c>
      <c r="F116">
        <f t="shared" ca="1" si="5"/>
        <v>89</v>
      </c>
      <c r="G116">
        <f t="shared" si="6"/>
        <v>6</v>
      </c>
      <c r="H116" s="2">
        <f t="shared" si="7"/>
        <v>39824.29</v>
      </c>
    </row>
    <row r="117" spans="1:8" x14ac:dyDescent="0.25">
      <c r="A117" s="4" t="s">
        <v>382</v>
      </c>
      <c r="B117" s="1">
        <v>45822</v>
      </c>
      <c r="C117">
        <v>5</v>
      </c>
      <c r="D117" s="2">
        <v>32752.22</v>
      </c>
      <c r="E117" t="str">
        <f t="shared" si="4"/>
        <v>CUST0115</v>
      </c>
      <c r="F117">
        <f t="shared" ca="1" si="5"/>
        <v>210</v>
      </c>
      <c r="G117">
        <f t="shared" si="6"/>
        <v>5</v>
      </c>
      <c r="H117" s="2">
        <f t="shared" si="7"/>
        <v>32752.22</v>
      </c>
    </row>
    <row r="118" spans="1:8" x14ac:dyDescent="0.25">
      <c r="A118" s="4" t="s">
        <v>48</v>
      </c>
      <c r="B118" s="1">
        <v>45825</v>
      </c>
      <c r="C118">
        <v>3</v>
      </c>
      <c r="D118" s="2">
        <v>12200.46</v>
      </c>
      <c r="E118" t="str">
        <f t="shared" si="4"/>
        <v>CUST0116</v>
      </c>
      <c r="F118">
        <f t="shared" ca="1" si="5"/>
        <v>207</v>
      </c>
      <c r="G118">
        <f t="shared" si="6"/>
        <v>3</v>
      </c>
      <c r="H118" s="2">
        <f t="shared" si="7"/>
        <v>12200.46</v>
      </c>
    </row>
    <row r="119" spans="1:8" x14ac:dyDescent="0.25">
      <c r="A119" s="4" t="s">
        <v>654</v>
      </c>
      <c r="B119" s="1">
        <v>45858</v>
      </c>
      <c r="C119">
        <v>3</v>
      </c>
      <c r="D119" s="2">
        <v>8553.52</v>
      </c>
      <c r="E119" t="str">
        <f t="shared" si="4"/>
        <v>CUST0117</v>
      </c>
      <c r="F119">
        <f t="shared" ca="1" si="5"/>
        <v>174</v>
      </c>
      <c r="G119">
        <f t="shared" si="6"/>
        <v>3</v>
      </c>
      <c r="H119" s="2">
        <f t="shared" si="7"/>
        <v>8553.52</v>
      </c>
    </row>
    <row r="120" spans="1:8" x14ac:dyDescent="0.25">
      <c r="A120" s="4" t="s">
        <v>110</v>
      </c>
      <c r="B120" s="1">
        <v>45885</v>
      </c>
      <c r="C120">
        <v>7</v>
      </c>
      <c r="D120" s="2">
        <v>33360.949999999997</v>
      </c>
      <c r="E120" t="str">
        <f t="shared" si="4"/>
        <v>CUST0119</v>
      </c>
      <c r="F120">
        <f t="shared" ca="1" si="5"/>
        <v>147</v>
      </c>
      <c r="G120">
        <f t="shared" si="6"/>
        <v>7</v>
      </c>
      <c r="H120" s="2">
        <f t="shared" si="7"/>
        <v>33360.949999999997</v>
      </c>
    </row>
    <row r="121" spans="1:8" x14ac:dyDescent="0.25">
      <c r="A121" s="4" t="s">
        <v>790</v>
      </c>
      <c r="B121" s="1">
        <v>45862</v>
      </c>
      <c r="C121">
        <v>3</v>
      </c>
      <c r="D121" s="2">
        <v>17948.939999999999</v>
      </c>
      <c r="E121" t="str">
        <f t="shared" si="4"/>
        <v>CUST0120</v>
      </c>
      <c r="F121">
        <f t="shared" ca="1" si="5"/>
        <v>170</v>
      </c>
      <c r="G121">
        <f t="shared" si="6"/>
        <v>3</v>
      </c>
      <c r="H121" s="2">
        <f t="shared" si="7"/>
        <v>17948.939999999999</v>
      </c>
    </row>
    <row r="122" spans="1:8" x14ac:dyDescent="0.25">
      <c r="A122" s="4" t="s">
        <v>102</v>
      </c>
      <c r="B122" s="1">
        <v>45777</v>
      </c>
      <c r="C122">
        <v>3</v>
      </c>
      <c r="D122" s="2">
        <v>5106.4900000000007</v>
      </c>
      <c r="E122" t="str">
        <f t="shared" si="4"/>
        <v>CUST0121</v>
      </c>
      <c r="F122">
        <f t="shared" ca="1" si="5"/>
        <v>255</v>
      </c>
      <c r="G122">
        <f t="shared" si="6"/>
        <v>3</v>
      </c>
      <c r="H122" s="2">
        <f t="shared" si="7"/>
        <v>5106.4900000000007</v>
      </c>
    </row>
    <row r="123" spans="1:8" x14ac:dyDescent="0.25">
      <c r="A123" s="4" t="s">
        <v>129</v>
      </c>
      <c r="B123" s="1">
        <v>45749</v>
      </c>
      <c r="C123">
        <v>7</v>
      </c>
      <c r="D123" s="2">
        <v>35503.819999999992</v>
      </c>
      <c r="E123" t="str">
        <f t="shared" si="4"/>
        <v>CUST0122</v>
      </c>
      <c r="F123">
        <f t="shared" ca="1" si="5"/>
        <v>283</v>
      </c>
      <c r="G123">
        <f t="shared" si="6"/>
        <v>7</v>
      </c>
      <c r="H123" s="2">
        <f t="shared" si="7"/>
        <v>35503.819999999992</v>
      </c>
    </row>
    <row r="124" spans="1:8" x14ac:dyDescent="0.25">
      <c r="A124" s="4" t="s">
        <v>154</v>
      </c>
      <c r="B124" s="1">
        <v>46003</v>
      </c>
      <c r="C124">
        <v>2</v>
      </c>
      <c r="D124" s="2">
        <v>10463.65</v>
      </c>
      <c r="E124" t="str">
        <f t="shared" si="4"/>
        <v>CUST0123</v>
      </c>
      <c r="F124">
        <f t="shared" ca="1" si="5"/>
        <v>29</v>
      </c>
      <c r="G124">
        <f t="shared" si="6"/>
        <v>2</v>
      </c>
      <c r="H124" s="2">
        <f t="shared" si="7"/>
        <v>10463.65</v>
      </c>
    </row>
    <row r="125" spans="1:8" x14ac:dyDescent="0.25">
      <c r="A125" s="4" t="s">
        <v>455</v>
      </c>
      <c r="B125" s="1">
        <v>45985</v>
      </c>
      <c r="C125">
        <v>5</v>
      </c>
      <c r="D125" s="2">
        <v>13444.85</v>
      </c>
      <c r="E125" t="str">
        <f t="shared" si="4"/>
        <v>CUST0124</v>
      </c>
      <c r="F125">
        <f t="shared" ca="1" si="5"/>
        <v>47</v>
      </c>
      <c r="G125">
        <f t="shared" si="6"/>
        <v>5</v>
      </c>
      <c r="H125" s="2">
        <f t="shared" si="7"/>
        <v>13444.85</v>
      </c>
    </row>
    <row r="126" spans="1:8" x14ac:dyDescent="0.25">
      <c r="A126" s="4" t="s">
        <v>446</v>
      </c>
      <c r="B126" s="1">
        <v>45981</v>
      </c>
      <c r="C126">
        <v>5</v>
      </c>
      <c r="D126" s="2">
        <v>19807.47</v>
      </c>
      <c r="E126" t="str">
        <f t="shared" si="4"/>
        <v>CUST0125</v>
      </c>
      <c r="F126">
        <f t="shared" ca="1" si="5"/>
        <v>51</v>
      </c>
      <c r="G126">
        <f t="shared" si="6"/>
        <v>5</v>
      </c>
      <c r="H126" s="2">
        <f t="shared" si="7"/>
        <v>19807.47</v>
      </c>
    </row>
    <row r="127" spans="1:8" x14ac:dyDescent="0.25">
      <c r="A127" s="4" t="s">
        <v>467</v>
      </c>
      <c r="B127" s="1">
        <v>45839</v>
      </c>
      <c r="C127">
        <v>6</v>
      </c>
      <c r="D127" s="2">
        <v>35115.829999999994</v>
      </c>
      <c r="E127" t="str">
        <f t="shared" si="4"/>
        <v>CUST0127</v>
      </c>
      <c r="F127">
        <f t="shared" ca="1" si="5"/>
        <v>193</v>
      </c>
      <c r="G127">
        <f t="shared" si="6"/>
        <v>6</v>
      </c>
      <c r="H127" s="2">
        <f t="shared" si="7"/>
        <v>35115.829999999994</v>
      </c>
    </row>
    <row r="128" spans="1:8" x14ac:dyDescent="0.25">
      <c r="A128" s="4" t="s">
        <v>503</v>
      </c>
      <c r="B128" s="1">
        <v>45881</v>
      </c>
      <c r="C128">
        <v>6</v>
      </c>
      <c r="D128" s="2">
        <v>31003.290000000005</v>
      </c>
      <c r="E128" t="str">
        <f t="shared" si="4"/>
        <v>CUST0128</v>
      </c>
      <c r="F128">
        <f t="shared" ca="1" si="5"/>
        <v>151</v>
      </c>
      <c r="G128">
        <f t="shared" si="6"/>
        <v>6</v>
      </c>
      <c r="H128" s="2">
        <f t="shared" si="7"/>
        <v>31003.290000000005</v>
      </c>
    </row>
    <row r="129" spans="1:8" x14ac:dyDescent="0.25">
      <c r="A129" s="4" t="s">
        <v>127</v>
      </c>
      <c r="B129" s="1">
        <v>45896</v>
      </c>
      <c r="C129">
        <v>4</v>
      </c>
      <c r="D129" s="2">
        <v>12901.78</v>
      </c>
      <c r="E129" t="str">
        <f t="shared" si="4"/>
        <v>CUST0129</v>
      </c>
      <c r="F129">
        <f t="shared" ca="1" si="5"/>
        <v>136</v>
      </c>
      <c r="G129">
        <f t="shared" si="6"/>
        <v>4</v>
      </c>
      <c r="H129" s="2">
        <f t="shared" si="7"/>
        <v>12901.78</v>
      </c>
    </row>
    <row r="130" spans="1:8" x14ac:dyDescent="0.25">
      <c r="A130" s="4" t="s">
        <v>952</v>
      </c>
      <c r="B130" s="1">
        <v>45972</v>
      </c>
      <c r="C130">
        <v>3</v>
      </c>
      <c r="D130" s="2">
        <v>15367.3</v>
      </c>
      <c r="E130" t="str">
        <f t="shared" si="4"/>
        <v>CUST0130</v>
      </c>
      <c r="F130">
        <f t="shared" ca="1" si="5"/>
        <v>60</v>
      </c>
      <c r="G130">
        <f t="shared" si="6"/>
        <v>3</v>
      </c>
      <c r="H130" s="2">
        <f t="shared" si="7"/>
        <v>15367.3</v>
      </c>
    </row>
    <row r="131" spans="1:8" x14ac:dyDescent="0.25">
      <c r="A131" s="4" t="s">
        <v>566</v>
      </c>
      <c r="B131" s="1">
        <v>45989</v>
      </c>
      <c r="C131">
        <v>5</v>
      </c>
      <c r="D131" s="2">
        <v>36050.659999999996</v>
      </c>
      <c r="E131" t="str">
        <f t="shared" si="4"/>
        <v>CUST0131</v>
      </c>
      <c r="F131">
        <f t="shared" ca="1" si="5"/>
        <v>43</v>
      </c>
      <c r="G131">
        <f t="shared" si="6"/>
        <v>5</v>
      </c>
      <c r="H131" s="2">
        <f t="shared" si="7"/>
        <v>36050.659999999996</v>
      </c>
    </row>
    <row r="132" spans="1:8" x14ac:dyDescent="0.25">
      <c r="A132" s="4" t="s">
        <v>233</v>
      </c>
      <c r="B132" s="1">
        <v>45843</v>
      </c>
      <c r="C132">
        <v>2</v>
      </c>
      <c r="D132" s="2">
        <v>8433.98</v>
      </c>
      <c r="E132" t="str">
        <f t="shared" si="4"/>
        <v>CUST0132</v>
      </c>
      <c r="F132">
        <f t="shared" ca="1" si="5"/>
        <v>189</v>
      </c>
      <c r="G132">
        <f t="shared" si="6"/>
        <v>2</v>
      </c>
      <c r="H132" s="2">
        <f t="shared" si="7"/>
        <v>8433.98</v>
      </c>
    </row>
    <row r="133" spans="1:8" x14ac:dyDescent="0.25">
      <c r="A133" s="4" t="s">
        <v>458</v>
      </c>
      <c r="B133" s="1">
        <v>45992</v>
      </c>
      <c r="C133">
        <v>6</v>
      </c>
      <c r="D133" s="2">
        <v>40773.25</v>
      </c>
      <c r="E133" t="str">
        <f t="shared" ref="E133:E196" si="8">A133</f>
        <v>CUST0133</v>
      </c>
      <c r="F133">
        <f t="shared" ref="F133:F196" ca="1" si="9">TODAY()-B133</f>
        <v>40</v>
      </c>
      <c r="G133">
        <f t="shared" ref="G133:G196" si="10">C133</f>
        <v>6</v>
      </c>
      <c r="H133" s="2">
        <f t="shared" ref="H133:H196" si="11">D133</f>
        <v>40773.25</v>
      </c>
    </row>
    <row r="134" spans="1:8" x14ac:dyDescent="0.25">
      <c r="A134" s="4" t="s">
        <v>380</v>
      </c>
      <c r="B134" s="1">
        <v>45667</v>
      </c>
      <c r="C134">
        <v>2</v>
      </c>
      <c r="D134" s="2">
        <v>11402.82</v>
      </c>
      <c r="E134" t="str">
        <f t="shared" si="8"/>
        <v>CUST0135</v>
      </c>
      <c r="F134">
        <f t="shared" ca="1" si="9"/>
        <v>365</v>
      </c>
      <c r="G134">
        <f t="shared" si="10"/>
        <v>2</v>
      </c>
      <c r="H134" s="2">
        <f t="shared" si="11"/>
        <v>11402.82</v>
      </c>
    </row>
    <row r="135" spans="1:8" x14ac:dyDescent="0.25">
      <c r="A135" s="4" t="s">
        <v>54</v>
      </c>
      <c r="B135" s="1">
        <v>46009</v>
      </c>
      <c r="C135">
        <v>6</v>
      </c>
      <c r="D135" s="2">
        <v>37759.21</v>
      </c>
      <c r="E135" t="str">
        <f t="shared" si="8"/>
        <v>CUST0136</v>
      </c>
      <c r="F135">
        <f t="shared" ca="1" si="9"/>
        <v>23</v>
      </c>
      <c r="G135">
        <f t="shared" si="10"/>
        <v>6</v>
      </c>
      <c r="H135" s="2">
        <f t="shared" si="11"/>
        <v>37759.21</v>
      </c>
    </row>
    <row r="136" spans="1:8" x14ac:dyDescent="0.25">
      <c r="A136" s="4" t="s">
        <v>851</v>
      </c>
      <c r="B136" s="1">
        <v>45535</v>
      </c>
      <c r="C136">
        <v>2</v>
      </c>
      <c r="D136" s="2">
        <v>4862.6900000000005</v>
      </c>
      <c r="E136" t="str">
        <f t="shared" si="8"/>
        <v>CUST0137</v>
      </c>
      <c r="F136">
        <f t="shared" ca="1" si="9"/>
        <v>497</v>
      </c>
      <c r="G136">
        <f t="shared" si="10"/>
        <v>2</v>
      </c>
      <c r="H136" s="2">
        <f t="shared" si="11"/>
        <v>4862.6900000000005</v>
      </c>
    </row>
    <row r="137" spans="1:8" x14ac:dyDescent="0.25">
      <c r="A137" s="4" t="s">
        <v>15</v>
      </c>
      <c r="B137" s="1">
        <v>45833</v>
      </c>
      <c r="C137">
        <v>6</v>
      </c>
      <c r="D137" s="2">
        <v>37441.32</v>
      </c>
      <c r="E137" t="str">
        <f t="shared" si="8"/>
        <v>CUST0138</v>
      </c>
      <c r="F137">
        <f t="shared" ca="1" si="9"/>
        <v>199</v>
      </c>
      <c r="G137">
        <f t="shared" si="10"/>
        <v>6</v>
      </c>
      <c r="H137" s="2">
        <f t="shared" si="11"/>
        <v>37441.32</v>
      </c>
    </row>
    <row r="138" spans="1:8" x14ac:dyDescent="0.25">
      <c r="A138" s="4" t="s">
        <v>1129</v>
      </c>
      <c r="B138" s="1">
        <v>45473</v>
      </c>
      <c r="C138">
        <v>2</v>
      </c>
      <c r="D138" s="2">
        <v>12022.96</v>
      </c>
      <c r="E138" t="str">
        <f t="shared" si="8"/>
        <v>CUST0139</v>
      </c>
      <c r="F138">
        <f t="shared" ca="1" si="9"/>
        <v>559</v>
      </c>
      <c r="G138">
        <f t="shared" si="10"/>
        <v>2</v>
      </c>
      <c r="H138" s="2">
        <f t="shared" si="11"/>
        <v>12022.96</v>
      </c>
    </row>
    <row r="139" spans="1:8" x14ac:dyDescent="0.25">
      <c r="A139" s="4" t="s">
        <v>767</v>
      </c>
      <c r="B139" s="1">
        <v>45833</v>
      </c>
      <c r="C139">
        <v>2</v>
      </c>
      <c r="D139" s="2">
        <v>7096.85</v>
      </c>
      <c r="E139" t="str">
        <f t="shared" si="8"/>
        <v>CUST0140</v>
      </c>
      <c r="F139">
        <f t="shared" ca="1" si="9"/>
        <v>199</v>
      </c>
      <c r="G139">
        <f t="shared" si="10"/>
        <v>2</v>
      </c>
      <c r="H139" s="2">
        <f t="shared" si="11"/>
        <v>7096.85</v>
      </c>
    </row>
    <row r="140" spans="1:8" x14ac:dyDescent="0.25">
      <c r="A140" s="4" t="s">
        <v>385</v>
      </c>
      <c r="B140" s="1">
        <v>45722</v>
      </c>
      <c r="C140">
        <v>5</v>
      </c>
      <c r="D140" s="2">
        <v>26865.870000000003</v>
      </c>
      <c r="E140" t="str">
        <f t="shared" si="8"/>
        <v>CUST0141</v>
      </c>
      <c r="F140">
        <f t="shared" ca="1" si="9"/>
        <v>310</v>
      </c>
      <c r="G140">
        <f t="shared" si="10"/>
        <v>5</v>
      </c>
      <c r="H140" s="2">
        <f t="shared" si="11"/>
        <v>26865.870000000003</v>
      </c>
    </row>
    <row r="141" spans="1:8" x14ac:dyDescent="0.25">
      <c r="A141" s="4" t="s">
        <v>266</v>
      </c>
      <c r="B141" s="1">
        <v>45950</v>
      </c>
      <c r="C141">
        <v>4</v>
      </c>
      <c r="D141" s="2">
        <v>13377.78</v>
      </c>
      <c r="E141" t="str">
        <f t="shared" si="8"/>
        <v>CUST0142</v>
      </c>
      <c r="F141">
        <f t="shared" ca="1" si="9"/>
        <v>82</v>
      </c>
      <c r="G141">
        <f t="shared" si="10"/>
        <v>4</v>
      </c>
      <c r="H141" s="2">
        <f t="shared" si="11"/>
        <v>13377.78</v>
      </c>
    </row>
    <row r="142" spans="1:8" x14ac:dyDescent="0.25">
      <c r="A142" s="4" t="s">
        <v>550</v>
      </c>
      <c r="B142" s="1">
        <v>45507</v>
      </c>
      <c r="C142">
        <v>2</v>
      </c>
      <c r="D142" s="2">
        <v>6084.24</v>
      </c>
      <c r="E142" t="str">
        <f t="shared" si="8"/>
        <v>CUST0143</v>
      </c>
      <c r="F142">
        <f t="shared" ca="1" si="9"/>
        <v>525</v>
      </c>
      <c r="G142">
        <f t="shared" si="10"/>
        <v>2</v>
      </c>
      <c r="H142" s="2">
        <f t="shared" si="11"/>
        <v>6084.24</v>
      </c>
    </row>
    <row r="143" spans="1:8" x14ac:dyDescent="0.25">
      <c r="A143" s="4" t="s">
        <v>87</v>
      </c>
      <c r="B143" s="1">
        <v>45992</v>
      </c>
      <c r="C143">
        <v>4</v>
      </c>
      <c r="D143" s="2">
        <v>13570.23</v>
      </c>
      <c r="E143" t="str">
        <f t="shared" si="8"/>
        <v>CUST0144</v>
      </c>
      <c r="F143">
        <f t="shared" ca="1" si="9"/>
        <v>40</v>
      </c>
      <c r="G143">
        <f t="shared" si="10"/>
        <v>4</v>
      </c>
      <c r="H143" s="2">
        <f t="shared" si="11"/>
        <v>13570.23</v>
      </c>
    </row>
    <row r="144" spans="1:8" x14ac:dyDescent="0.25">
      <c r="A144" s="4" t="s">
        <v>106</v>
      </c>
      <c r="B144" s="1">
        <v>45701</v>
      </c>
      <c r="C144">
        <v>3</v>
      </c>
      <c r="D144" s="2">
        <v>16981.47</v>
      </c>
      <c r="E144" t="str">
        <f t="shared" si="8"/>
        <v>CUST0145</v>
      </c>
      <c r="F144">
        <f t="shared" ca="1" si="9"/>
        <v>331</v>
      </c>
      <c r="G144">
        <f t="shared" si="10"/>
        <v>3</v>
      </c>
      <c r="H144" s="2">
        <f t="shared" si="11"/>
        <v>16981.47</v>
      </c>
    </row>
    <row r="145" spans="1:8" x14ac:dyDescent="0.25">
      <c r="A145" s="4" t="s">
        <v>94</v>
      </c>
      <c r="B145" s="1">
        <v>45890</v>
      </c>
      <c r="C145">
        <v>4</v>
      </c>
      <c r="D145" s="2">
        <v>14356.420000000002</v>
      </c>
      <c r="E145" t="str">
        <f t="shared" si="8"/>
        <v>CUST0146</v>
      </c>
      <c r="F145">
        <f t="shared" ca="1" si="9"/>
        <v>142</v>
      </c>
      <c r="G145">
        <f t="shared" si="10"/>
        <v>4</v>
      </c>
      <c r="H145" s="2">
        <f t="shared" si="11"/>
        <v>14356.420000000002</v>
      </c>
    </row>
    <row r="146" spans="1:8" x14ac:dyDescent="0.25">
      <c r="A146" s="4" t="s">
        <v>561</v>
      </c>
      <c r="B146" s="1">
        <v>45862</v>
      </c>
      <c r="C146">
        <v>2</v>
      </c>
      <c r="D146" s="2">
        <v>10356.75</v>
      </c>
      <c r="E146" t="str">
        <f t="shared" si="8"/>
        <v>CUST0147</v>
      </c>
      <c r="F146">
        <f t="shared" ca="1" si="9"/>
        <v>170</v>
      </c>
      <c r="G146">
        <f t="shared" si="10"/>
        <v>2</v>
      </c>
      <c r="H146" s="2">
        <f t="shared" si="11"/>
        <v>10356.75</v>
      </c>
    </row>
    <row r="147" spans="1:8" x14ac:dyDescent="0.25">
      <c r="A147" s="4" t="s">
        <v>483</v>
      </c>
      <c r="B147" s="1">
        <v>45671</v>
      </c>
      <c r="C147">
        <v>4</v>
      </c>
      <c r="D147" s="2">
        <v>28752.100000000002</v>
      </c>
      <c r="E147" t="str">
        <f t="shared" si="8"/>
        <v>CUST0148</v>
      </c>
      <c r="F147">
        <f t="shared" ca="1" si="9"/>
        <v>361</v>
      </c>
      <c r="G147">
        <f t="shared" si="10"/>
        <v>4</v>
      </c>
      <c r="H147" s="2">
        <f t="shared" si="11"/>
        <v>28752.100000000002</v>
      </c>
    </row>
    <row r="148" spans="1:8" x14ac:dyDescent="0.25">
      <c r="A148" s="4" t="s">
        <v>158</v>
      </c>
      <c r="B148" s="1">
        <v>45698</v>
      </c>
      <c r="C148">
        <v>4</v>
      </c>
      <c r="D148" s="2">
        <v>21597.279999999999</v>
      </c>
      <c r="E148" t="str">
        <f t="shared" si="8"/>
        <v>CUST0149</v>
      </c>
      <c r="F148">
        <f t="shared" ca="1" si="9"/>
        <v>334</v>
      </c>
      <c r="G148">
        <f t="shared" si="10"/>
        <v>4</v>
      </c>
      <c r="H148" s="2">
        <f t="shared" si="11"/>
        <v>21597.279999999999</v>
      </c>
    </row>
    <row r="149" spans="1:8" x14ac:dyDescent="0.25">
      <c r="A149" s="4" t="s">
        <v>20</v>
      </c>
      <c r="B149" s="1">
        <v>45749</v>
      </c>
      <c r="C149">
        <v>2</v>
      </c>
      <c r="D149" s="2">
        <v>4472.58</v>
      </c>
      <c r="E149" t="str">
        <f t="shared" si="8"/>
        <v>CUST0150</v>
      </c>
      <c r="F149">
        <f t="shared" ca="1" si="9"/>
        <v>283</v>
      </c>
      <c r="G149">
        <f t="shared" si="10"/>
        <v>2</v>
      </c>
      <c r="H149" s="2">
        <f t="shared" si="11"/>
        <v>4472.58</v>
      </c>
    </row>
    <row r="150" spans="1:8" x14ac:dyDescent="0.25">
      <c r="A150" s="4" t="s">
        <v>774</v>
      </c>
      <c r="B150" s="1">
        <v>45640</v>
      </c>
      <c r="C150">
        <v>4</v>
      </c>
      <c r="D150" s="2">
        <v>24895.72</v>
      </c>
      <c r="E150" t="str">
        <f t="shared" si="8"/>
        <v>CUST0151</v>
      </c>
      <c r="F150">
        <f t="shared" ca="1" si="9"/>
        <v>392</v>
      </c>
      <c r="G150">
        <f t="shared" si="10"/>
        <v>4</v>
      </c>
      <c r="H150" s="2">
        <f t="shared" si="11"/>
        <v>24895.72</v>
      </c>
    </row>
    <row r="151" spans="1:8" x14ac:dyDescent="0.25">
      <c r="A151" s="4" t="s">
        <v>404</v>
      </c>
      <c r="B151" s="1">
        <v>45767</v>
      </c>
      <c r="C151">
        <v>2</v>
      </c>
      <c r="D151" s="2">
        <v>9083.6</v>
      </c>
      <c r="E151" t="str">
        <f t="shared" si="8"/>
        <v>CUST0152</v>
      </c>
      <c r="F151">
        <f t="shared" ca="1" si="9"/>
        <v>265</v>
      </c>
      <c r="G151">
        <f t="shared" si="10"/>
        <v>2</v>
      </c>
      <c r="H151" s="2">
        <f t="shared" si="11"/>
        <v>9083.6</v>
      </c>
    </row>
    <row r="152" spans="1:8" x14ac:dyDescent="0.25">
      <c r="A152" s="4" t="s">
        <v>309</v>
      </c>
      <c r="B152" s="1">
        <v>46000</v>
      </c>
      <c r="C152">
        <v>3</v>
      </c>
      <c r="D152" s="2">
        <v>13559.029999999999</v>
      </c>
      <c r="E152" t="str">
        <f t="shared" si="8"/>
        <v>CUST0153</v>
      </c>
      <c r="F152">
        <f t="shared" ca="1" si="9"/>
        <v>32</v>
      </c>
      <c r="G152">
        <f t="shared" si="10"/>
        <v>3</v>
      </c>
      <c r="H152" s="2">
        <f t="shared" si="11"/>
        <v>13559.029999999999</v>
      </c>
    </row>
    <row r="153" spans="1:8" x14ac:dyDescent="0.25">
      <c r="A153" s="4" t="s">
        <v>148</v>
      </c>
      <c r="B153" s="1">
        <v>45891</v>
      </c>
      <c r="C153">
        <v>3</v>
      </c>
      <c r="D153" s="2">
        <v>4222.37</v>
      </c>
      <c r="E153" t="str">
        <f t="shared" si="8"/>
        <v>CUST0154</v>
      </c>
      <c r="F153">
        <f t="shared" ca="1" si="9"/>
        <v>141</v>
      </c>
      <c r="G153">
        <f t="shared" si="10"/>
        <v>3</v>
      </c>
      <c r="H153" s="2">
        <f t="shared" si="11"/>
        <v>4222.37</v>
      </c>
    </row>
    <row r="154" spans="1:8" x14ac:dyDescent="0.25">
      <c r="A154" s="4" t="s">
        <v>398</v>
      </c>
      <c r="B154" s="1">
        <v>45967</v>
      </c>
      <c r="C154">
        <v>5</v>
      </c>
      <c r="D154" s="2">
        <v>23878.140000000003</v>
      </c>
      <c r="E154" t="str">
        <f t="shared" si="8"/>
        <v>CUST0156</v>
      </c>
      <c r="F154">
        <f t="shared" ca="1" si="9"/>
        <v>65</v>
      </c>
      <c r="G154">
        <f t="shared" si="10"/>
        <v>5</v>
      </c>
      <c r="H154" s="2">
        <f t="shared" si="11"/>
        <v>23878.140000000003</v>
      </c>
    </row>
    <row r="155" spans="1:8" x14ac:dyDescent="0.25">
      <c r="A155" s="4" t="s">
        <v>326</v>
      </c>
      <c r="B155" s="1">
        <v>45984</v>
      </c>
      <c r="C155">
        <v>3</v>
      </c>
      <c r="D155" s="2">
        <v>18676.099999999999</v>
      </c>
      <c r="E155" t="str">
        <f t="shared" si="8"/>
        <v>CUST0157</v>
      </c>
      <c r="F155">
        <f t="shared" ca="1" si="9"/>
        <v>48</v>
      </c>
      <c r="G155">
        <f t="shared" si="10"/>
        <v>3</v>
      </c>
      <c r="H155" s="2">
        <f t="shared" si="11"/>
        <v>18676.099999999999</v>
      </c>
    </row>
    <row r="156" spans="1:8" x14ac:dyDescent="0.25">
      <c r="A156" s="4" t="s">
        <v>735</v>
      </c>
      <c r="B156" s="1">
        <v>45577</v>
      </c>
      <c r="C156">
        <v>4</v>
      </c>
      <c r="D156" s="2">
        <v>16504.04</v>
      </c>
      <c r="E156" t="str">
        <f t="shared" si="8"/>
        <v>CUST0158</v>
      </c>
      <c r="F156">
        <f t="shared" ca="1" si="9"/>
        <v>455</v>
      </c>
      <c r="G156">
        <f t="shared" si="10"/>
        <v>4</v>
      </c>
      <c r="H156" s="2">
        <f t="shared" si="11"/>
        <v>16504.04</v>
      </c>
    </row>
    <row r="157" spans="1:8" x14ac:dyDescent="0.25">
      <c r="A157" s="4" t="s">
        <v>437</v>
      </c>
      <c r="B157" s="1">
        <v>45972</v>
      </c>
      <c r="C157">
        <v>7</v>
      </c>
      <c r="D157" s="2">
        <v>26534.639999999999</v>
      </c>
      <c r="E157" t="str">
        <f t="shared" si="8"/>
        <v>CUST0159</v>
      </c>
      <c r="F157">
        <f t="shared" ca="1" si="9"/>
        <v>60</v>
      </c>
      <c r="G157">
        <f t="shared" si="10"/>
        <v>7</v>
      </c>
      <c r="H157" s="2">
        <f t="shared" si="11"/>
        <v>26534.639999999999</v>
      </c>
    </row>
    <row r="158" spans="1:8" x14ac:dyDescent="0.25">
      <c r="A158" s="4" t="s">
        <v>1085</v>
      </c>
      <c r="B158" s="1">
        <v>45511</v>
      </c>
      <c r="C158">
        <v>1</v>
      </c>
      <c r="D158" s="2">
        <v>4805.8999999999996</v>
      </c>
      <c r="E158" t="str">
        <f t="shared" si="8"/>
        <v>CUST0160</v>
      </c>
      <c r="F158">
        <f t="shared" ca="1" si="9"/>
        <v>521</v>
      </c>
      <c r="G158">
        <f t="shared" si="10"/>
        <v>1</v>
      </c>
      <c r="H158" s="2">
        <f t="shared" si="11"/>
        <v>4805.8999999999996</v>
      </c>
    </row>
    <row r="159" spans="1:8" x14ac:dyDescent="0.25">
      <c r="A159" s="4" t="s">
        <v>258</v>
      </c>
      <c r="B159" s="1">
        <v>45699</v>
      </c>
      <c r="C159">
        <v>6</v>
      </c>
      <c r="D159" s="2">
        <v>19559.7</v>
      </c>
      <c r="E159" t="str">
        <f t="shared" si="8"/>
        <v>CUST0161</v>
      </c>
      <c r="F159">
        <f t="shared" ca="1" si="9"/>
        <v>333</v>
      </c>
      <c r="G159">
        <f t="shared" si="10"/>
        <v>6</v>
      </c>
      <c r="H159" s="2">
        <f t="shared" si="11"/>
        <v>19559.7</v>
      </c>
    </row>
    <row r="160" spans="1:8" x14ac:dyDescent="0.25">
      <c r="A160" s="4" t="s">
        <v>587</v>
      </c>
      <c r="B160" s="1">
        <v>45886</v>
      </c>
      <c r="C160">
        <v>3</v>
      </c>
      <c r="D160" s="2">
        <v>17803.97</v>
      </c>
      <c r="E160" t="str">
        <f t="shared" si="8"/>
        <v>CUST0162</v>
      </c>
      <c r="F160">
        <f t="shared" ca="1" si="9"/>
        <v>146</v>
      </c>
      <c r="G160">
        <f t="shared" si="10"/>
        <v>3</v>
      </c>
      <c r="H160" s="2">
        <f t="shared" si="11"/>
        <v>17803.97</v>
      </c>
    </row>
    <row r="161" spans="1:8" x14ac:dyDescent="0.25">
      <c r="A161" s="4" t="s">
        <v>741</v>
      </c>
      <c r="B161" s="1">
        <v>45917</v>
      </c>
      <c r="C161">
        <v>3</v>
      </c>
      <c r="D161" s="2">
        <v>18380.310000000001</v>
      </c>
      <c r="E161" t="str">
        <f t="shared" si="8"/>
        <v>CUST0163</v>
      </c>
      <c r="F161">
        <f t="shared" ca="1" si="9"/>
        <v>115</v>
      </c>
      <c r="G161">
        <f t="shared" si="10"/>
        <v>3</v>
      </c>
      <c r="H161" s="2">
        <f t="shared" si="11"/>
        <v>18380.310000000001</v>
      </c>
    </row>
    <row r="162" spans="1:8" x14ac:dyDescent="0.25">
      <c r="A162" s="4" t="s">
        <v>52</v>
      </c>
      <c r="B162" s="1">
        <v>45997</v>
      </c>
      <c r="C162">
        <v>5</v>
      </c>
      <c r="D162" s="2">
        <v>36554.300000000003</v>
      </c>
      <c r="E162" t="str">
        <f t="shared" si="8"/>
        <v>CUST0164</v>
      </c>
      <c r="F162">
        <f t="shared" ca="1" si="9"/>
        <v>35</v>
      </c>
      <c r="G162">
        <f t="shared" si="10"/>
        <v>5</v>
      </c>
      <c r="H162" s="2">
        <f t="shared" si="11"/>
        <v>36554.300000000003</v>
      </c>
    </row>
    <row r="163" spans="1:8" x14ac:dyDescent="0.25">
      <c r="A163" s="4" t="s">
        <v>593</v>
      </c>
      <c r="B163" s="1">
        <v>45961</v>
      </c>
      <c r="C163">
        <v>5</v>
      </c>
      <c r="D163" s="2">
        <v>23692.1</v>
      </c>
      <c r="E163" t="str">
        <f t="shared" si="8"/>
        <v>CUST0165</v>
      </c>
      <c r="F163">
        <f t="shared" ca="1" si="9"/>
        <v>71</v>
      </c>
      <c r="G163">
        <f t="shared" si="10"/>
        <v>5</v>
      </c>
      <c r="H163" s="2">
        <f t="shared" si="11"/>
        <v>23692.1</v>
      </c>
    </row>
    <row r="164" spans="1:8" x14ac:dyDescent="0.25">
      <c r="A164" s="4" t="s">
        <v>216</v>
      </c>
      <c r="B164" s="1">
        <v>45920</v>
      </c>
      <c r="C164">
        <v>5</v>
      </c>
      <c r="D164" s="2">
        <v>19614.8</v>
      </c>
      <c r="E164" t="str">
        <f t="shared" si="8"/>
        <v>CUST0166</v>
      </c>
      <c r="F164">
        <f t="shared" ca="1" si="9"/>
        <v>112</v>
      </c>
      <c r="G164">
        <f t="shared" si="10"/>
        <v>5</v>
      </c>
      <c r="H164" s="2">
        <f t="shared" si="11"/>
        <v>19614.8</v>
      </c>
    </row>
    <row r="165" spans="1:8" x14ac:dyDescent="0.25">
      <c r="A165" s="4" t="s">
        <v>364</v>
      </c>
      <c r="B165" s="1">
        <v>45819</v>
      </c>
      <c r="C165">
        <v>1</v>
      </c>
      <c r="D165" s="2">
        <v>2058.4299999999998</v>
      </c>
      <c r="E165" t="str">
        <f t="shared" si="8"/>
        <v>CUST0167</v>
      </c>
      <c r="F165">
        <f t="shared" ca="1" si="9"/>
        <v>213</v>
      </c>
      <c r="G165">
        <f t="shared" si="10"/>
        <v>1</v>
      </c>
      <c r="H165" s="2">
        <f t="shared" si="11"/>
        <v>2058.4299999999998</v>
      </c>
    </row>
    <row r="166" spans="1:8" x14ac:dyDescent="0.25">
      <c r="A166" s="4" t="s">
        <v>137</v>
      </c>
      <c r="B166" s="1">
        <v>46019</v>
      </c>
      <c r="C166">
        <v>6</v>
      </c>
      <c r="D166" s="2">
        <v>27341.309999999998</v>
      </c>
      <c r="E166" t="str">
        <f t="shared" si="8"/>
        <v>CUST0168</v>
      </c>
      <c r="F166">
        <f t="shared" ca="1" si="9"/>
        <v>13</v>
      </c>
      <c r="G166">
        <f t="shared" si="10"/>
        <v>6</v>
      </c>
      <c r="H166" s="2">
        <f t="shared" si="11"/>
        <v>27341.309999999998</v>
      </c>
    </row>
    <row r="167" spans="1:8" x14ac:dyDescent="0.25">
      <c r="A167" s="4" t="s">
        <v>905</v>
      </c>
      <c r="B167" s="1">
        <v>45842</v>
      </c>
      <c r="C167">
        <v>4</v>
      </c>
      <c r="D167" s="2">
        <v>25987.39</v>
      </c>
      <c r="E167" t="str">
        <f t="shared" si="8"/>
        <v>CUST0169</v>
      </c>
      <c r="F167">
        <f t="shared" ca="1" si="9"/>
        <v>190</v>
      </c>
      <c r="G167">
        <f t="shared" si="10"/>
        <v>4</v>
      </c>
      <c r="H167" s="2">
        <f t="shared" si="11"/>
        <v>25987.39</v>
      </c>
    </row>
    <row r="168" spans="1:8" x14ac:dyDescent="0.25">
      <c r="A168" s="4" t="s">
        <v>40</v>
      </c>
      <c r="B168" s="1">
        <v>45952</v>
      </c>
      <c r="C168">
        <v>7</v>
      </c>
      <c r="D168" s="2">
        <v>36773.69</v>
      </c>
      <c r="E168" t="str">
        <f t="shared" si="8"/>
        <v>CUST0170</v>
      </c>
      <c r="F168">
        <f t="shared" ca="1" si="9"/>
        <v>80</v>
      </c>
      <c r="G168">
        <f t="shared" si="10"/>
        <v>7</v>
      </c>
      <c r="H168" s="2">
        <f t="shared" si="11"/>
        <v>36773.69</v>
      </c>
    </row>
    <row r="169" spans="1:8" x14ac:dyDescent="0.25">
      <c r="A169" s="4" t="s">
        <v>242</v>
      </c>
      <c r="B169" s="1">
        <v>45969</v>
      </c>
      <c r="C169">
        <v>4</v>
      </c>
      <c r="D169" s="2">
        <v>12512.919999999998</v>
      </c>
      <c r="E169" t="str">
        <f t="shared" si="8"/>
        <v>CUST0171</v>
      </c>
      <c r="F169">
        <f t="shared" ca="1" si="9"/>
        <v>63</v>
      </c>
      <c r="G169">
        <f t="shared" si="10"/>
        <v>4</v>
      </c>
      <c r="H169" s="2">
        <f t="shared" si="11"/>
        <v>12512.919999999998</v>
      </c>
    </row>
    <row r="170" spans="1:8" x14ac:dyDescent="0.25">
      <c r="A170" s="4" t="s">
        <v>329</v>
      </c>
      <c r="B170" s="1">
        <v>45952</v>
      </c>
      <c r="C170">
        <v>4</v>
      </c>
      <c r="D170" s="2">
        <v>32944.449999999997</v>
      </c>
      <c r="E170" t="str">
        <f t="shared" si="8"/>
        <v>CUST0172</v>
      </c>
      <c r="F170">
        <f t="shared" ca="1" si="9"/>
        <v>80</v>
      </c>
      <c r="G170">
        <f t="shared" si="10"/>
        <v>4</v>
      </c>
      <c r="H170" s="2">
        <f t="shared" si="11"/>
        <v>32944.449999999997</v>
      </c>
    </row>
    <row r="171" spans="1:8" x14ac:dyDescent="0.25">
      <c r="A171" s="4" t="s">
        <v>114</v>
      </c>
      <c r="B171" s="1">
        <v>45669</v>
      </c>
      <c r="C171">
        <v>3</v>
      </c>
      <c r="D171" s="2">
        <v>12513.98</v>
      </c>
      <c r="E171" t="str">
        <f t="shared" si="8"/>
        <v>CUST0173</v>
      </c>
      <c r="F171">
        <f t="shared" ca="1" si="9"/>
        <v>363</v>
      </c>
      <c r="G171">
        <f t="shared" si="10"/>
        <v>3</v>
      </c>
      <c r="H171" s="2">
        <f t="shared" si="11"/>
        <v>12513.98</v>
      </c>
    </row>
    <row r="172" spans="1:8" x14ac:dyDescent="0.25">
      <c r="A172" s="4" t="s">
        <v>366</v>
      </c>
      <c r="B172" s="1">
        <v>45862</v>
      </c>
      <c r="C172">
        <v>6</v>
      </c>
      <c r="D172" s="2">
        <v>18861.68</v>
      </c>
      <c r="E172" t="str">
        <f t="shared" si="8"/>
        <v>CUST0174</v>
      </c>
      <c r="F172">
        <f t="shared" ca="1" si="9"/>
        <v>170</v>
      </c>
      <c r="G172">
        <f t="shared" si="10"/>
        <v>6</v>
      </c>
      <c r="H172" s="2">
        <f t="shared" si="11"/>
        <v>18861.68</v>
      </c>
    </row>
    <row r="173" spans="1:8" x14ac:dyDescent="0.25">
      <c r="A173" s="4" t="s">
        <v>277</v>
      </c>
      <c r="B173" s="1">
        <v>45966</v>
      </c>
      <c r="C173">
        <v>3</v>
      </c>
      <c r="D173" s="2">
        <v>19458.02</v>
      </c>
      <c r="E173" t="str">
        <f t="shared" si="8"/>
        <v>CUST0175</v>
      </c>
      <c r="F173">
        <f t="shared" ca="1" si="9"/>
        <v>66</v>
      </c>
      <c r="G173">
        <f t="shared" si="10"/>
        <v>3</v>
      </c>
      <c r="H173" s="2">
        <f t="shared" si="11"/>
        <v>19458.02</v>
      </c>
    </row>
    <row r="174" spans="1:8" x14ac:dyDescent="0.25">
      <c r="A174" s="4" t="s">
        <v>505</v>
      </c>
      <c r="B174" s="1">
        <v>45965</v>
      </c>
      <c r="C174">
        <v>3</v>
      </c>
      <c r="D174" s="2">
        <v>16225.439999999999</v>
      </c>
      <c r="E174" t="str">
        <f t="shared" si="8"/>
        <v>CUST0176</v>
      </c>
      <c r="F174">
        <f t="shared" ca="1" si="9"/>
        <v>67</v>
      </c>
      <c r="G174">
        <f t="shared" si="10"/>
        <v>3</v>
      </c>
      <c r="H174" s="2">
        <f t="shared" si="11"/>
        <v>16225.439999999999</v>
      </c>
    </row>
    <row r="175" spans="1:8" x14ac:dyDescent="0.25">
      <c r="A175" s="4" t="s">
        <v>819</v>
      </c>
      <c r="B175" s="1">
        <v>45647</v>
      </c>
      <c r="C175">
        <v>2</v>
      </c>
      <c r="D175" s="2">
        <v>10288.290000000001</v>
      </c>
      <c r="E175" t="str">
        <f t="shared" si="8"/>
        <v>CUST0177</v>
      </c>
      <c r="F175">
        <f t="shared" ca="1" si="9"/>
        <v>385</v>
      </c>
      <c r="G175">
        <f t="shared" si="10"/>
        <v>2</v>
      </c>
      <c r="H175" s="2">
        <f t="shared" si="11"/>
        <v>10288.290000000001</v>
      </c>
    </row>
    <row r="176" spans="1:8" x14ac:dyDescent="0.25">
      <c r="A176" s="4" t="s">
        <v>166</v>
      </c>
      <c r="B176" s="1">
        <v>45792</v>
      </c>
      <c r="C176">
        <v>6</v>
      </c>
      <c r="D176" s="2">
        <v>27413.59</v>
      </c>
      <c r="E176" t="str">
        <f t="shared" si="8"/>
        <v>CUST0178</v>
      </c>
      <c r="F176">
        <f t="shared" ca="1" si="9"/>
        <v>240</v>
      </c>
      <c r="G176">
        <f t="shared" si="10"/>
        <v>6</v>
      </c>
      <c r="H176" s="2">
        <f t="shared" si="11"/>
        <v>27413.59</v>
      </c>
    </row>
    <row r="177" spans="1:8" x14ac:dyDescent="0.25">
      <c r="A177" s="4" t="s">
        <v>42</v>
      </c>
      <c r="B177" s="1">
        <v>45909</v>
      </c>
      <c r="C177">
        <v>4</v>
      </c>
      <c r="D177" s="2">
        <v>21966.11</v>
      </c>
      <c r="E177" t="str">
        <f t="shared" si="8"/>
        <v>CUST0179</v>
      </c>
      <c r="F177">
        <f t="shared" ca="1" si="9"/>
        <v>123</v>
      </c>
      <c r="G177">
        <f t="shared" si="10"/>
        <v>4</v>
      </c>
      <c r="H177" s="2">
        <f t="shared" si="11"/>
        <v>21966.11</v>
      </c>
    </row>
    <row r="178" spans="1:8" x14ac:dyDescent="0.25">
      <c r="A178" s="4" t="s">
        <v>362</v>
      </c>
      <c r="B178" s="1">
        <v>45987</v>
      </c>
      <c r="C178">
        <v>3</v>
      </c>
      <c r="D178" s="2">
        <v>15634.03</v>
      </c>
      <c r="E178" t="str">
        <f t="shared" si="8"/>
        <v>CUST0180</v>
      </c>
      <c r="F178">
        <f t="shared" ca="1" si="9"/>
        <v>45</v>
      </c>
      <c r="G178">
        <f t="shared" si="10"/>
        <v>3</v>
      </c>
      <c r="H178" s="2">
        <f t="shared" si="11"/>
        <v>15634.03</v>
      </c>
    </row>
    <row r="179" spans="1:8" x14ac:dyDescent="0.25">
      <c r="A179" s="4" t="s">
        <v>65</v>
      </c>
      <c r="B179" s="1">
        <v>45954</v>
      </c>
      <c r="C179">
        <v>2</v>
      </c>
      <c r="D179" s="2">
        <v>971.56999999999994</v>
      </c>
      <c r="E179" t="str">
        <f t="shared" si="8"/>
        <v>CUST0181</v>
      </c>
      <c r="F179">
        <f t="shared" ca="1" si="9"/>
        <v>78</v>
      </c>
      <c r="G179">
        <f t="shared" si="10"/>
        <v>2</v>
      </c>
      <c r="H179" s="2">
        <f t="shared" si="11"/>
        <v>971.56999999999994</v>
      </c>
    </row>
    <row r="180" spans="1:8" x14ac:dyDescent="0.25">
      <c r="A180" s="4" t="s">
        <v>319</v>
      </c>
      <c r="B180" s="1">
        <v>45717</v>
      </c>
      <c r="C180">
        <v>4</v>
      </c>
      <c r="D180" s="2">
        <v>26500.65</v>
      </c>
      <c r="E180" t="str">
        <f t="shared" si="8"/>
        <v>CUST0182</v>
      </c>
      <c r="F180">
        <f t="shared" ca="1" si="9"/>
        <v>315</v>
      </c>
      <c r="G180">
        <f t="shared" si="10"/>
        <v>4</v>
      </c>
      <c r="H180" s="2">
        <f t="shared" si="11"/>
        <v>26500.65</v>
      </c>
    </row>
    <row r="181" spans="1:8" x14ac:dyDescent="0.25">
      <c r="A181" s="4" t="s">
        <v>207</v>
      </c>
      <c r="B181" s="1">
        <v>45696</v>
      </c>
      <c r="C181">
        <v>5</v>
      </c>
      <c r="D181" s="2">
        <v>28241.430000000004</v>
      </c>
      <c r="E181" t="str">
        <f t="shared" si="8"/>
        <v>CUST0183</v>
      </c>
      <c r="F181">
        <f t="shared" ca="1" si="9"/>
        <v>336</v>
      </c>
      <c r="G181">
        <f t="shared" si="10"/>
        <v>5</v>
      </c>
      <c r="H181" s="2">
        <f t="shared" si="11"/>
        <v>28241.430000000004</v>
      </c>
    </row>
    <row r="182" spans="1:8" x14ac:dyDescent="0.25">
      <c r="A182" s="4" t="s">
        <v>231</v>
      </c>
      <c r="B182" s="1">
        <v>45468</v>
      </c>
      <c r="C182">
        <v>3</v>
      </c>
      <c r="D182" s="2">
        <v>14941.939999999999</v>
      </c>
      <c r="E182" t="str">
        <f t="shared" si="8"/>
        <v>CUST0184</v>
      </c>
      <c r="F182">
        <f t="shared" ca="1" si="9"/>
        <v>564</v>
      </c>
      <c r="G182">
        <f t="shared" si="10"/>
        <v>3</v>
      </c>
      <c r="H182" s="2">
        <f t="shared" si="11"/>
        <v>14941.939999999999</v>
      </c>
    </row>
    <row r="183" spans="1:8" x14ac:dyDescent="0.25">
      <c r="A183" s="4" t="s">
        <v>178</v>
      </c>
      <c r="B183" s="1">
        <v>45972</v>
      </c>
      <c r="C183">
        <v>4</v>
      </c>
      <c r="D183" s="2">
        <v>20517.47</v>
      </c>
      <c r="E183" t="str">
        <f t="shared" si="8"/>
        <v>CUST0185</v>
      </c>
      <c r="F183">
        <f t="shared" ca="1" si="9"/>
        <v>60</v>
      </c>
      <c r="G183">
        <f t="shared" si="10"/>
        <v>4</v>
      </c>
      <c r="H183" s="2">
        <f t="shared" si="11"/>
        <v>20517.47</v>
      </c>
    </row>
    <row r="184" spans="1:8" x14ac:dyDescent="0.25">
      <c r="A184" s="4" t="s">
        <v>680</v>
      </c>
      <c r="B184" s="1">
        <v>45547</v>
      </c>
      <c r="C184">
        <v>2</v>
      </c>
      <c r="D184" s="2">
        <v>17060.3</v>
      </c>
      <c r="E184" t="str">
        <f t="shared" si="8"/>
        <v>CUST0186</v>
      </c>
      <c r="F184">
        <f t="shared" ca="1" si="9"/>
        <v>485</v>
      </c>
      <c r="G184">
        <f t="shared" si="10"/>
        <v>2</v>
      </c>
      <c r="H184" s="2">
        <f t="shared" si="11"/>
        <v>17060.3</v>
      </c>
    </row>
    <row r="185" spans="1:8" x14ac:dyDescent="0.25">
      <c r="A185" s="4" t="s">
        <v>802</v>
      </c>
      <c r="B185" s="1">
        <v>45900</v>
      </c>
      <c r="C185">
        <v>4</v>
      </c>
      <c r="D185" s="2">
        <v>29085.84</v>
      </c>
      <c r="E185" t="str">
        <f t="shared" si="8"/>
        <v>CUST0187</v>
      </c>
      <c r="F185">
        <f t="shared" ca="1" si="9"/>
        <v>132</v>
      </c>
      <c r="G185">
        <f t="shared" si="10"/>
        <v>4</v>
      </c>
      <c r="H185" s="2">
        <f t="shared" si="11"/>
        <v>29085.84</v>
      </c>
    </row>
    <row r="186" spans="1:8" x14ac:dyDescent="0.25">
      <c r="A186" s="4" t="s">
        <v>627</v>
      </c>
      <c r="B186" s="1">
        <v>45896</v>
      </c>
      <c r="C186">
        <v>3</v>
      </c>
      <c r="D186" s="2">
        <v>9103.5099999999984</v>
      </c>
      <c r="E186" t="str">
        <f t="shared" si="8"/>
        <v>CUST0188</v>
      </c>
      <c r="F186">
        <f t="shared" ca="1" si="9"/>
        <v>136</v>
      </c>
      <c r="G186">
        <f t="shared" si="10"/>
        <v>3</v>
      </c>
      <c r="H186" s="2">
        <f t="shared" si="11"/>
        <v>9103.5099999999984</v>
      </c>
    </row>
    <row r="187" spans="1:8" x14ac:dyDescent="0.25">
      <c r="A187" s="4" t="s">
        <v>596</v>
      </c>
      <c r="B187" s="1">
        <v>46008</v>
      </c>
      <c r="C187">
        <v>2</v>
      </c>
      <c r="D187" s="2">
        <v>10391.31</v>
      </c>
      <c r="E187" t="str">
        <f t="shared" si="8"/>
        <v>CUST0189</v>
      </c>
      <c r="F187">
        <f t="shared" ca="1" si="9"/>
        <v>24</v>
      </c>
      <c r="G187">
        <f t="shared" si="10"/>
        <v>2</v>
      </c>
      <c r="H187" s="2">
        <f t="shared" si="11"/>
        <v>10391.31</v>
      </c>
    </row>
    <row r="188" spans="1:8" x14ac:dyDescent="0.25">
      <c r="A188" s="4" t="s">
        <v>162</v>
      </c>
      <c r="B188" s="1">
        <v>45911</v>
      </c>
      <c r="C188">
        <v>2</v>
      </c>
      <c r="D188" s="2">
        <v>9569.380000000001</v>
      </c>
      <c r="E188" t="str">
        <f t="shared" si="8"/>
        <v>CUST0190</v>
      </c>
      <c r="F188">
        <f t="shared" ca="1" si="9"/>
        <v>121</v>
      </c>
      <c r="G188">
        <f t="shared" si="10"/>
        <v>2</v>
      </c>
      <c r="H188" s="2">
        <f t="shared" si="11"/>
        <v>9569.380000000001</v>
      </c>
    </row>
    <row r="189" spans="1:8" x14ac:dyDescent="0.25">
      <c r="A189" s="4" t="s">
        <v>464</v>
      </c>
      <c r="B189" s="1">
        <v>45997</v>
      </c>
      <c r="C189">
        <v>5</v>
      </c>
      <c r="D189" s="2">
        <v>18732.86</v>
      </c>
      <c r="E189" t="str">
        <f t="shared" si="8"/>
        <v>CUST0191</v>
      </c>
      <c r="F189">
        <f t="shared" ca="1" si="9"/>
        <v>35</v>
      </c>
      <c r="G189">
        <f t="shared" si="10"/>
        <v>5</v>
      </c>
      <c r="H189" s="2">
        <f t="shared" si="11"/>
        <v>18732.86</v>
      </c>
    </row>
    <row r="190" spans="1:8" x14ac:dyDescent="0.25">
      <c r="A190" s="4" t="s">
        <v>707</v>
      </c>
      <c r="B190" s="1">
        <v>45795</v>
      </c>
      <c r="C190">
        <v>2</v>
      </c>
      <c r="D190" s="2">
        <v>8984.99</v>
      </c>
      <c r="E190" t="str">
        <f t="shared" si="8"/>
        <v>CUST0192</v>
      </c>
      <c r="F190">
        <f t="shared" ca="1" si="9"/>
        <v>237</v>
      </c>
      <c r="G190">
        <f t="shared" si="10"/>
        <v>2</v>
      </c>
      <c r="H190" s="2">
        <f t="shared" si="11"/>
        <v>8984.99</v>
      </c>
    </row>
    <row r="191" spans="1:8" x14ac:dyDescent="0.25">
      <c r="A191" s="4" t="s">
        <v>150</v>
      </c>
      <c r="B191" s="1">
        <v>45590</v>
      </c>
      <c r="C191">
        <v>4</v>
      </c>
      <c r="D191" s="2">
        <v>18204.849999999999</v>
      </c>
      <c r="E191" t="str">
        <f t="shared" si="8"/>
        <v>CUST0193</v>
      </c>
      <c r="F191">
        <f t="shared" ca="1" si="9"/>
        <v>442</v>
      </c>
      <c r="G191">
        <f t="shared" si="10"/>
        <v>4</v>
      </c>
      <c r="H191" s="2">
        <f t="shared" si="11"/>
        <v>18204.849999999999</v>
      </c>
    </row>
    <row r="192" spans="1:8" x14ac:dyDescent="0.25">
      <c r="A192" s="4" t="s">
        <v>251</v>
      </c>
      <c r="B192" s="1">
        <v>45801</v>
      </c>
      <c r="C192">
        <v>4</v>
      </c>
      <c r="D192" s="2">
        <v>24647.919999999998</v>
      </c>
      <c r="E192" t="str">
        <f t="shared" si="8"/>
        <v>CUST0194</v>
      </c>
      <c r="F192">
        <f t="shared" ca="1" si="9"/>
        <v>231</v>
      </c>
      <c r="G192">
        <f t="shared" si="10"/>
        <v>4</v>
      </c>
      <c r="H192" s="2">
        <f t="shared" si="11"/>
        <v>24647.919999999998</v>
      </c>
    </row>
    <row r="193" spans="1:8" x14ac:dyDescent="0.25">
      <c r="A193" s="4" t="s">
        <v>486</v>
      </c>
      <c r="B193" s="1">
        <v>45756</v>
      </c>
      <c r="C193">
        <v>7</v>
      </c>
      <c r="D193" s="2">
        <v>31583.739999999998</v>
      </c>
      <c r="E193" t="str">
        <f t="shared" si="8"/>
        <v>CUST0195</v>
      </c>
      <c r="F193">
        <f t="shared" ca="1" si="9"/>
        <v>276</v>
      </c>
      <c r="G193">
        <f t="shared" si="10"/>
        <v>7</v>
      </c>
      <c r="H193" s="2">
        <f t="shared" si="11"/>
        <v>31583.739999999998</v>
      </c>
    </row>
    <row r="194" spans="1:8" x14ac:dyDescent="0.25">
      <c r="A194" s="4" t="s">
        <v>268</v>
      </c>
      <c r="B194" s="1">
        <v>45818</v>
      </c>
      <c r="C194">
        <v>5</v>
      </c>
      <c r="D194" s="2">
        <v>16682.669999999998</v>
      </c>
      <c r="E194" t="str">
        <f t="shared" si="8"/>
        <v>CUST0196</v>
      </c>
      <c r="F194">
        <f t="shared" ca="1" si="9"/>
        <v>214</v>
      </c>
      <c r="G194">
        <f t="shared" si="10"/>
        <v>5</v>
      </c>
      <c r="H194" s="2">
        <f t="shared" si="11"/>
        <v>16682.669999999998</v>
      </c>
    </row>
    <row r="195" spans="1:8" x14ac:dyDescent="0.25">
      <c r="A195" s="4" t="s">
        <v>360</v>
      </c>
      <c r="B195" s="1">
        <v>45813</v>
      </c>
      <c r="C195">
        <v>2</v>
      </c>
      <c r="D195" s="2">
        <v>9528.1</v>
      </c>
      <c r="E195" t="str">
        <f t="shared" si="8"/>
        <v>CUST0197</v>
      </c>
      <c r="F195">
        <f t="shared" ca="1" si="9"/>
        <v>219</v>
      </c>
      <c r="G195">
        <f t="shared" si="10"/>
        <v>2</v>
      </c>
      <c r="H195" s="2">
        <f t="shared" si="11"/>
        <v>9528.1</v>
      </c>
    </row>
    <row r="196" spans="1:8" x14ac:dyDescent="0.25">
      <c r="A196" s="4" t="s">
        <v>611</v>
      </c>
      <c r="B196" s="1">
        <v>45992</v>
      </c>
      <c r="C196">
        <v>3</v>
      </c>
      <c r="D196" s="2">
        <v>18686.54</v>
      </c>
      <c r="E196" t="str">
        <f t="shared" si="8"/>
        <v>CUST0198</v>
      </c>
      <c r="F196">
        <f t="shared" ca="1" si="9"/>
        <v>40</v>
      </c>
      <c r="G196">
        <f t="shared" si="10"/>
        <v>3</v>
      </c>
      <c r="H196" s="2">
        <f t="shared" si="11"/>
        <v>18686.54</v>
      </c>
    </row>
    <row r="197" spans="1:8" x14ac:dyDescent="0.25">
      <c r="A197" s="4" t="s">
        <v>205</v>
      </c>
      <c r="B197" s="1">
        <v>45916</v>
      </c>
      <c r="C197">
        <v>2</v>
      </c>
      <c r="D197" s="2">
        <v>5443.6399999999994</v>
      </c>
      <c r="E197" t="str">
        <f t="shared" ref="E197:E249" si="12">A197</f>
        <v>CUST0199</v>
      </c>
      <c r="F197">
        <f t="shared" ref="F197:F249" ca="1" si="13">TODAY()-B197</f>
        <v>116</v>
      </c>
      <c r="G197">
        <f t="shared" ref="G197:G249" si="14">C197</f>
        <v>2</v>
      </c>
      <c r="H197" s="2">
        <f t="shared" ref="H197:H249" si="15">D197</f>
        <v>5443.6399999999994</v>
      </c>
    </row>
    <row r="198" spans="1:8" x14ac:dyDescent="0.25">
      <c r="A198" s="4" t="s">
        <v>432</v>
      </c>
      <c r="B198" s="1">
        <v>45809</v>
      </c>
      <c r="C198">
        <v>3</v>
      </c>
      <c r="D198" s="2">
        <v>5463.96</v>
      </c>
      <c r="E198" t="str">
        <f t="shared" si="12"/>
        <v>CUST0200</v>
      </c>
      <c r="F198">
        <f t="shared" ca="1" si="13"/>
        <v>223</v>
      </c>
      <c r="G198">
        <f t="shared" si="14"/>
        <v>3</v>
      </c>
      <c r="H198" s="2">
        <f t="shared" si="15"/>
        <v>5463.96</v>
      </c>
    </row>
    <row r="199" spans="1:8" x14ac:dyDescent="0.25">
      <c r="A199" s="4" t="s">
        <v>185</v>
      </c>
      <c r="B199" s="1">
        <v>45797</v>
      </c>
      <c r="C199">
        <v>6</v>
      </c>
      <c r="D199" s="2">
        <v>32319.559999999998</v>
      </c>
      <c r="E199" t="str">
        <f t="shared" si="12"/>
        <v>CUST0201</v>
      </c>
      <c r="F199">
        <f t="shared" ca="1" si="13"/>
        <v>235</v>
      </c>
      <c r="G199">
        <f t="shared" si="14"/>
        <v>6</v>
      </c>
      <c r="H199" s="2">
        <f t="shared" si="15"/>
        <v>32319.559999999998</v>
      </c>
    </row>
    <row r="200" spans="1:8" x14ac:dyDescent="0.25">
      <c r="A200" s="4" t="s">
        <v>286</v>
      </c>
      <c r="B200" s="1">
        <v>45944</v>
      </c>
      <c r="C200">
        <v>6</v>
      </c>
      <c r="D200" s="2">
        <v>22246.39</v>
      </c>
      <c r="E200" t="str">
        <f t="shared" si="12"/>
        <v>CUST0202</v>
      </c>
      <c r="F200">
        <f t="shared" ca="1" si="13"/>
        <v>88</v>
      </c>
      <c r="G200">
        <f t="shared" si="14"/>
        <v>6</v>
      </c>
      <c r="H200" s="2">
        <f t="shared" si="15"/>
        <v>22246.39</v>
      </c>
    </row>
    <row r="201" spans="1:8" x14ac:dyDescent="0.25">
      <c r="A201" s="4" t="s">
        <v>556</v>
      </c>
      <c r="B201" s="1">
        <v>46006</v>
      </c>
      <c r="C201">
        <v>5</v>
      </c>
      <c r="D201" s="2">
        <v>21472.47</v>
      </c>
      <c r="E201" t="str">
        <f t="shared" si="12"/>
        <v>CUST0203</v>
      </c>
      <c r="F201">
        <f t="shared" ca="1" si="13"/>
        <v>26</v>
      </c>
      <c r="G201">
        <f t="shared" si="14"/>
        <v>5</v>
      </c>
      <c r="H201" s="2">
        <f t="shared" si="15"/>
        <v>21472.47</v>
      </c>
    </row>
    <row r="202" spans="1:8" x14ac:dyDescent="0.25">
      <c r="A202" s="4" t="s">
        <v>26</v>
      </c>
      <c r="B202" s="1">
        <v>45744</v>
      </c>
      <c r="C202">
        <v>6</v>
      </c>
      <c r="D202" s="2">
        <v>23239.89</v>
      </c>
      <c r="E202" t="str">
        <f t="shared" si="12"/>
        <v>CUST0204</v>
      </c>
      <c r="F202">
        <f t="shared" ca="1" si="13"/>
        <v>288</v>
      </c>
      <c r="G202">
        <f t="shared" si="14"/>
        <v>6</v>
      </c>
      <c r="H202" s="2">
        <f t="shared" si="15"/>
        <v>23239.89</v>
      </c>
    </row>
    <row r="203" spans="1:8" x14ac:dyDescent="0.25">
      <c r="A203" s="4" t="s">
        <v>337</v>
      </c>
      <c r="B203" s="1">
        <v>45796</v>
      </c>
      <c r="C203">
        <v>6</v>
      </c>
      <c r="D203" s="2">
        <v>43349.399999999994</v>
      </c>
      <c r="E203" t="str">
        <f t="shared" si="12"/>
        <v>CUST0205</v>
      </c>
      <c r="F203">
        <f t="shared" ca="1" si="13"/>
        <v>236</v>
      </c>
      <c r="G203">
        <f t="shared" si="14"/>
        <v>6</v>
      </c>
      <c r="H203" s="2">
        <f t="shared" si="15"/>
        <v>43349.399999999994</v>
      </c>
    </row>
    <row r="204" spans="1:8" x14ac:dyDescent="0.25">
      <c r="A204" s="4" t="s">
        <v>189</v>
      </c>
      <c r="B204" s="1">
        <v>45800</v>
      </c>
      <c r="C204">
        <v>6</v>
      </c>
      <c r="D204" s="2">
        <v>25096</v>
      </c>
      <c r="E204" t="str">
        <f t="shared" si="12"/>
        <v>CUST0206</v>
      </c>
      <c r="F204">
        <f t="shared" ca="1" si="13"/>
        <v>232</v>
      </c>
      <c r="G204">
        <f t="shared" si="14"/>
        <v>6</v>
      </c>
      <c r="H204" s="2">
        <f t="shared" si="15"/>
        <v>25096</v>
      </c>
    </row>
    <row r="205" spans="1:8" x14ac:dyDescent="0.25">
      <c r="A205" s="4" t="s">
        <v>78</v>
      </c>
      <c r="B205" s="1">
        <v>45808</v>
      </c>
      <c r="C205">
        <v>5</v>
      </c>
      <c r="D205" s="2">
        <v>14703.710000000001</v>
      </c>
      <c r="E205" t="str">
        <f t="shared" si="12"/>
        <v>CUST0207</v>
      </c>
      <c r="F205">
        <f t="shared" ca="1" si="13"/>
        <v>224</v>
      </c>
      <c r="G205">
        <f t="shared" si="14"/>
        <v>5</v>
      </c>
      <c r="H205" s="2">
        <f t="shared" si="15"/>
        <v>14703.710000000001</v>
      </c>
    </row>
    <row r="206" spans="1:8" x14ac:dyDescent="0.25">
      <c r="A206" s="4" t="s">
        <v>203</v>
      </c>
      <c r="B206" s="1">
        <v>46002</v>
      </c>
      <c r="C206">
        <v>5</v>
      </c>
      <c r="D206" s="2">
        <v>23487.729999999996</v>
      </c>
      <c r="E206" t="str">
        <f t="shared" si="12"/>
        <v>CUST0208</v>
      </c>
      <c r="F206">
        <f t="shared" ca="1" si="13"/>
        <v>30</v>
      </c>
      <c r="G206">
        <f t="shared" si="14"/>
        <v>5</v>
      </c>
      <c r="H206" s="2">
        <f t="shared" si="15"/>
        <v>23487.729999999996</v>
      </c>
    </row>
    <row r="207" spans="1:8" x14ac:dyDescent="0.25">
      <c r="A207" s="4" t="s">
        <v>12</v>
      </c>
      <c r="B207" s="1">
        <v>46012</v>
      </c>
      <c r="C207">
        <v>5</v>
      </c>
      <c r="D207" s="2">
        <v>23269.889999999996</v>
      </c>
      <c r="E207" t="str">
        <f t="shared" si="12"/>
        <v>CUST0209</v>
      </c>
      <c r="F207">
        <f t="shared" ca="1" si="13"/>
        <v>20</v>
      </c>
      <c r="G207">
        <f t="shared" si="14"/>
        <v>5</v>
      </c>
      <c r="H207" s="2">
        <f t="shared" si="15"/>
        <v>23269.889999999996</v>
      </c>
    </row>
    <row r="208" spans="1:8" x14ac:dyDescent="0.25">
      <c r="A208" s="4" t="s">
        <v>67</v>
      </c>
      <c r="B208" s="1">
        <v>45914</v>
      </c>
      <c r="C208">
        <v>4</v>
      </c>
      <c r="D208" s="2">
        <v>16810.82</v>
      </c>
      <c r="E208" t="str">
        <f t="shared" si="12"/>
        <v>CUST0210</v>
      </c>
      <c r="F208">
        <f t="shared" ca="1" si="13"/>
        <v>118</v>
      </c>
      <c r="G208">
        <f t="shared" si="14"/>
        <v>4</v>
      </c>
      <c r="H208" s="2">
        <f t="shared" si="15"/>
        <v>16810.82</v>
      </c>
    </row>
    <row r="209" spans="1:8" x14ac:dyDescent="0.25">
      <c r="A209" s="4" t="s">
        <v>321</v>
      </c>
      <c r="B209" s="1">
        <v>45703</v>
      </c>
      <c r="C209">
        <v>1</v>
      </c>
      <c r="D209" s="2">
        <v>1236.68</v>
      </c>
      <c r="E209" t="str">
        <f t="shared" si="12"/>
        <v>CUST0211</v>
      </c>
      <c r="F209">
        <f t="shared" ca="1" si="13"/>
        <v>329</v>
      </c>
      <c r="G209">
        <f t="shared" si="14"/>
        <v>1</v>
      </c>
      <c r="H209" s="2">
        <f t="shared" si="15"/>
        <v>1236.68</v>
      </c>
    </row>
    <row r="210" spans="1:8" x14ac:dyDescent="0.25">
      <c r="A210" s="4" t="s">
        <v>711</v>
      </c>
      <c r="B210" s="1">
        <v>46019</v>
      </c>
      <c r="C210">
        <v>5</v>
      </c>
      <c r="D210" s="2">
        <v>27429.9</v>
      </c>
      <c r="E210" t="str">
        <f t="shared" si="12"/>
        <v>CUST0212</v>
      </c>
      <c r="F210">
        <f t="shared" ca="1" si="13"/>
        <v>13</v>
      </c>
      <c r="G210">
        <f t="shared" si="14"/>
        <v>5</v>
      </c>
      <c r="H210" s="2">
        <f t="shared" si="15"/>
        <v>27429.9</v>
      </c>
    </row>
    <row r="211" spans="1:8" x14ac:dyDescent="0.25">
      <c r="A211" s="4" t="s">
        <v>956</v>
      </c>
      <c r="B211" s="1">
        <v>45767</v>
      </c>
      <c r="C211">
        <v>4</v>
      </c>
      <c r="D211" s="2">
        <v>14383.25</v>
      </c>
      <c r="E211" t="str">
        <f t="shared" si="12"/>
        <v>CUST0213</v>
      </c>
      <c r="F211">
        <f t="shared" ca="1" si="13"/>
        <v>265</v>
      </c>
      <c r="G211">
        <f t="shared" si="14"/>
        <v>4</v>
      </c>
      <c r="H211" s="2">
        <f t="shared" si="15"/>
        <v>14383.25</v>
      </c>
    </row>
    <row r="212" spans="1:8" x14ac:dyDescent="0.25">
      <c r="A212" s="4" t="s">
        <v>72</v>
      </c>
      <c r="B212" s="1">
        <v>45937</v>
      </c>
      <c r="C212">
        <v>4</v>
      </c>
      <c r="D212" s="2">
        <v>19284.150000000001</v>
      </c>
      <c r="E212" t="str">
        <f t="shared" si="12"/>
        <v>CUST0214</v>
      </c>
      <c r="F212">
        <f t="shared" ca="1" si="13"/>
        <v>95</v>
      </c>
      <c r="G212">
        <f t="shared" si="14"/>
        <v>4</v>
      </c>
      <c r="H212" s="2">
        <f t="shared" si="15"/>
        <v>19284.150000000001</v>
      </c>
    </row>
    <row r="213" spans="1:8" x14ac:dyDescent="0.25">
      <c r="A213" s="4" t="s">
        <v>425</v>
      </c>
      <c r="B213" s="1">
        <v>45735</v>
      </c>
      <c r="C213">
        <v>2</v>
      </c>
      <c r="D213" s="2">
        <v>9920.15</v>
      </c>
      <c r="E213" t="str">
        <f t="shared" si="12"/>
        <v>CUST0215</v>
      </c>
      <c r="F213">
        <f t="shared" ca="1" si="13"/>
        <v>297</v>
      </c>
      <c r="G213">
        <f t="shared" si="14"/>
        <v>2</v>
      </c>
      <c r="H213" s="2">
        <f t="shared" si="15"/>
        <v>9920.15</v>
      </c>
    </row>
    <row r="214" spans="1:8" x14ac:dyDescent="0.25">
      <c r="A214" s="4" t="s">
        <v>56</v>
      </c>
      <c r="B214" s="1">
        <v>45908</v>
      </c>
      <c r="C214">
        <v>4</v>
      </c>
      <c r="D214" s="2">
        <v>18902.64</v>
      </c>
      <c r="E214" t="str">
        <f t="shared" si="12"/>
        <v>CUST0216</v>
      </c>
      <c r="F214">
        <f t="shared" ca="1" si="13"/>
        <v>124</v>
      </c>
      <c r="G214">
        <f t="shared" si="14"/>
        <v>4</v>
      </c>
      <c r="H214" s="2">
        <f t="shared" si="15"/>
        <v>18902.64</v>
      </c>
    </row>
    <row r="215" spans="1:8" x14ac:dyDescent="0.25">
      <c r="A215" s="4" t="s">
        <v>198</v>
      </c>
      <c r="B215" s="1">
        <v>45999</v>
      </c>
      <c r="C215">
        <v>5</v>
      </c>
      <c r="D215" s="2">
        <v>25155.53</v>
      </c>
      <c r="E215" t="str">
        <f t="shared" si="12"/>
        <v>CUST0217</v>
      </c>
      <c r="F215">
        <f t="shared" ca="1" si="13"/>
        <v>33</v>
      </c>
      <c r="G215">
        <f t="shared" si="14"/>
        <v>5</v>
      </c>
      <c r="H215" s="2">
        <f t="shared" si="15"/>
        <v>25155.53</v>
      </c>
    </row>
    <row r="216" spans="1:8" x14ac:dyDescent="0.25">
      <c r="A216" s="4" t="s">
        <v>291</v>
      </c>
      <c r="B216" s="1">
        <v>45898</v>
      </c>
      <c r="C216">
        <v>5</v>
      </c>
      <c r="D216" s="2">
        <v>20991.98</v>
      </c>
      <c r="E216" t="str">
        <f t="shared" si="12"/>
        <v>CUST0218</v>
      </c>
      <c r="F216">
        <f t="shared" ca="1" si="13"/>
        <v>134</v>
      </c>
      <c r="G216">
        <f t="shared" si="14"/>
        <v>5</v>
      </c>
      <c r="H216" s="2">
        <f t="shared" si="15"/>
        <v>20991.98</v>
      </c>
    </row>
    <row r="217" spans="1:8" x14ac:dyDescent="0.25">
      <c r="A217" s="4" t="s">
        <v>146</v>
      </c>
      <c r="B217" s="1">
        <v>45658</v>
      </c>
      <c r="C217">
        <v>2</v>
      </c>
      <c r="D217" s="2">
        <v>10347.630000000001</v>
      </c>
      <c r="E217" t="str">
        <f t="shared" si="12"/>
        <v>CUST0219</v>
      </c>
      <c r="F217">
        <f t="shared" ca="1" si="13"/>
        <v>374</v>
      </c>
      <c r="G217">
        <f t="shared" si="14"/>
        <v>2</v>
      </c>
      <c r="H217" s="2">
        <f t="shared" si="15"/>
        <v>10347.630000000001</v>
      </c>
    </row>
    <row r="218" spans="1:8" x14ac:dyDescent="0.25">
      <c r="A218" s="4" t="s">
        <v>722</v>
      </c>
      <c r="B218" s="1">
        <v>45974</v>
      </c>
      <c r="C218">
        <v>3</v>
      </c>
      <c r="D218" s="2">
        <v>16858.75</v>
      </c>
      <c r="E218" t="str">
        <f t="shared" si="12"/>
        <v>CUST0220</v>
      </c>
      <c r="F218">
        <f t="shared" ca="1" si="13"/>
        <v>58</v>
      </c>
      <c r="G218">
        <f t="shared" si="14"/>
        <v>3</v>
      </c>
      <c r="H218" s="2">
        <f t="shared" si="15"/>
        <v>16858.75</v>
      </c>
    </row>
    <row r="219" spans="1:8" x14ac:dyDescent="0.25">
      <c r="A219" s="4" t="s">
        <v>392</v>
      </c>
      <c r="B219" s="1">
        <v>45882</v>
      </c>
      <c r="C219">
        <v>3</v>
      </c>
      <c r="D219" s="2">
        <v>18516.41</v>
      </c>
      <c r="E219" t="str">
        <f t="shared" si="12"/>
        <v>CUST0221</v>
      </c>
      <c r="F219">
        <f t="shared" ca="1" si="13"/>
        <v>150</v>
      </c>
      <c r="G219">
        <f t="shared" si="14"/>
        <v>3</v>
      </c>
      <c r="H219" s="2">
        <f t="shared" si="15"/>
        <v>18516.41</v>
      </c>
    </row>
    <row r="220" spans="1:8" x14ac:dyDescent="0.25">
      <c r="A220" s="4" t="s">
        <v>74</v>
      </c>
      <c r="B220" s="1">
        <v>46008</v>
      </c>
      <c r="C220">
        <v>7</v>
      </c>
      <c r="D220" s="2">
        <v>48421.689999999995</v>
      </c>
      <c r="E220" t="str">
        <f t="shared" si="12"/>
        <v>CUST0222</v>
      </c>
      <c r="F220">
        <f t="shared" ca="1" si="13"/>
        <v>24</v>
      </c>
      <c r="G220">
        <f t="shared" si="14"/>
        <v>7</v>
      </c>
      <c r="H220" s="2">
        <f t="shared" si="15"/>
        <v>48421.689999999995</v>
      </c>
    </row>
    <row r="221" spans="1:8" x14ac:dyDescent="0.25">
      <c r="A221" s="4" t="s">
        <v>24</v>
      </c>
      <c r="B221" s="1">
        <v>45888</v>
      </c>
      <c r="C221">
        <v>5</v>
      </c>
      <c r="D221" s="2">
        <v>22554.36</v>
      </c>
      <c r="E221" t="str">
        <f t="shared" si="12"/>
        <v>CUST0223</v>
      </c>
      <c r="F221">
        <f t="shared" ca="1" si="13"/>
        <v>144</v>
      </c>
      <c r="G221">
        <f t="shared" si="14"/>
        <v>5</v>
      </c>
      <c r="H221" s="2">
        <f t="shared" si="15"/>
        <v>22554.36</v>
      </c>
    </row>
    <row r="222" spans="1:8" x14ac:dyDescent="0.25">
      <c r="A222" s="4" t="s">
        <v>9</v>
      </c>
      <c r="B222" s="1">
        <v>46007</v>
      </c>
      <c r="C222">
        <v>3</v>
      </c>
      <c r="D222" s="2">
        <v>14692.509999999998</v>
      </c>
      <c r="E222" t="str">
        <f t="shared" si="12"/>
        <v>CUST0224</v>
      </c>
      <c r="F222">
        <f t="shared" ca="1" si="13"/>
        <v>25</v>
      </c>
      <c r="G222">
        <f t="shared" si="14"/>
        <v>3</v>
      </c>
      <c r="H222" s="2">
        <f t="shared" si="15"/>
        <v>14692.509999999998</v>
      </c>
    </row>
    <row r="223" spans="1:8" x14ac:dyDescent="0.25">
      <c r="A223" s="4" t="s">
        <v>6</v>
      </c>
      <c r="B223" s="1">
        <v>45434</v>
      </c>
      <c r="C223">
        <v>3</v>
      </c>
      <c r="D223" s="2">
        <v>23398.639999999999</v>
      </c>
      <c r="E223" t="str">
        <f t="shared" si="12"/>
        <v>CUST0225</v>
      </c>
      <c r="F223">
        <f t="shared" ca="1" si="13"/>
        <v>598</v>
      </c>
      <c r="G223">
        <f t="shared" si="14"/>
        <v>3</v>
      </c>
      <c r="H223" s="2">
        <f t="shared" si="15"/>
        <v>23398.639999999999</v>
      </c>
    </row>
    <row r="224" spans="1:8" x14ac:dyDescent="0.25">
      <c r="A224" s="4" t="s">
        <v>120</v>
      </c>
      <c r="B224" s="1">
        <v>45986</v>
      </c>
      <c r="C224">
        <v>5</v>
      </c>
      <c r="D224" s="2">
        <v>16061.640000000001</v>
      </c>
      <c r="E224" t="str">
        <f t="shared" si="12"/>
        <v>CUST0226</v>
      </c>
      <c r="F224">
        <f t="shared" ca="1" si="13"/>
        <v>46</v>
      </c>
      <c r="G224">
        <f t="shared" si="14"/>
        <v>5</v>
      </c>
      <c r="H224" s="2">
        <f t="shared" si="15"/>
        <v>16061.640000000001</v>
      </c>
    </row>
    <row r="225" spans="1:8" x14ac:dyDescent="0.25">
      <c r="A225" s="4" t="s">
        <v>100</v>
      </c>
      <c r="B225" s="1">
        <v>45919</v>
      </c>
      <c r="C225">
        <v>5</v>
      </c>
      <c r="D225" s="2">
        <v>16810.55</v>
      </c>
      <c r="E225" t="str">
        <f t="shared" si="12"/>
        <v>CUST0227</v>
      </c>
      <c r="F225">
        <f t="shared" ca="1" si="13"/>
        <v>113</v>
      </c>
      <c r="G225">
        <f t="shared" si="14"/>
        <v>5</v>
      </c>
      <c r="H225" s="2">
        <f t="shared" si="15"/>
        <v>16810.55</v>
      </c>
    </row>
    <row r="226" spans="1:8" x14ac:dyDescent="0.25">
      <c r="A226" s="4" t="s">
        <v>690</v>
      </c>
      <c r="B226" s="1">
        <v>45504</v>
      </c>
      <c r="C226">
        <v>2</v>
      </c>
      <c r="D226" s="2">
        <v>15648.539999999999</v>
      </c>
      <c r="E226" t="str">
        <f t="shared" si="12"/>
        <v>CUST0228</v>
      </c>
      <c r="F226">
        <f t="shared" ca="1" si="13"/>
        <v>528</v>
      </c>
      <c r="G226">
        <f t="shared" si="14"/>
        <v>2</v>
      </c>
      <c r="H226" s="2">
        <f t="shared" si="15"/>
        <v>15648.539999999999</v>
      </c>
    </row>
    <row r="227" spans="1:8" x14ac:dyDescent="0.25">
      <c r="A227" s="4" t="s">
        <v>434</v>
      </c>
      <c r="B227" s="1">
        <v>45973</v>
      </c>
      <c r="C227">
        <v>6</v>
      </c>
      <c r="D227" s="2">
        <v>28977.22</v>
      </c>
      <c r="E227" t="str">
        <f t="shared" si="12"/>
        <v>CUST0229</v>
      </c>
      <c r="F227">
        <f t="shared" ca="1" si="13"/>
        <v>59</v>
      </c>
      <c r="G227">
        <f t="shared" si="14"/>
        <v>6</v>
      </c>
      <c r="H227" s="2">
        <f t="shared" si="15"/>
        <v>28977.22</v>
      </c>
    </row>
    <row r="228" spans="1:8" x14ac:dyDescent="0.25">
      <c r="A228" s="4" t="s">
        <v>244</v>
      </c>
      <c r="B228" s="1">
        <v>46008</v>
      </c>
      <c r="C228">
        <v>6</v>
      </c>
      <c r="D228" s="2">
        <v>26388.960000000003</v>
      </c>
      <c r="E228" t="str">
        <f t="shared" si="12"/>
        <v>CUST0230</v>
      </c>
      <c r="F228">
        <f t="shared" ca="1" si="13"/>
        <v>24</v>
      </c>
      <c r="G228">
        <f t="shared" si="14"/>
        <v>6</v>
      </c>
      <c r="H228" s="2">
        <f t="shared" si="15"/>
        <v>26388.960000000003</v>
      </c>
    </row>
    <row r="229" spans="1:8" x14ac:dyDescent="0.25">
      <c r="A229" s="4" t="s">
        <v>83</v>
      </c>
      <c r="B229" s="1">
        <v>45956</v>
      </c>
      <c r="C229">
        <v>4</v>
      </c>
      <c r="D229" s="2">
        <v>25201.780000000002</v>
      </c>
      <c r="E229" t="str">
        <f t="shared" si="12"/>
        <v>CUST0231</v>
      </c>
      <c r="F229">
        <f t="shared" ca="1" si="13"/>
        <v>76</v>
      </c>
      <c r="G229">
        <f t="shared" si="14"/>
        <v>4</v>
      </c>
      <c r="H229" s="2">
        <f t="shared" si="15"/>
        <v>25201.780000000002</v>
      </c>
    </row>
    <row r="230" spans="1:8" x14ac:dyDescent="0.25">
      <c r="A230" s="4" t="s">
        <v>262</v>
      </c>
      <c r="B230" s="1">
        <v>45696</v>
      </c>
      <c r="C230">
        <v>1</v>
      </c>
      <c r="D230" s="2">
        <v>8482.31</v>
      </c>
      <c r="E230" t="str">
        <f t="shared" si="12"/>
        <v>CUST0232</v>
      </c>
      <c r="F230">
        <f t="shared" ca="1" si="13"/>
        <v>336</v>
      </c>
      <c r="G230">
        <f t="shared" si="14"/>
        <v>1</v>
      </c>
      <c r="H230" s="2">
        <f t="shared" si="15"/>
        <v>8482.31</v>
      </c>
    </row>
    <row r="231" spans="1:8" x14ac:dyDescent="0.25">
      <c r="A231" s="4" t="s">
        <v>226</v>
      </c>
      <c r="B231" s="1">
        <v>46016</v>
      </c>
      <c r="C231">
        <v>3</v>
      </c>
      <c r="D231" s="2">
        <v>18351.59</v>
      </c>
      <c r="E231" t="str">
        <f t="shared" si="12"/>
        <v>CUST0233</v>
      </c>
      <c r="F231">
        <f t="shared" ca="1" si="13"/>
        <v>16</v>
      </c>
      <c r="G231">
        <f t="shared" si="14"/>
        <v>3</v>
      </c>
      <c r="H231" s="2">
        <f t="shared" si="15"/>
        <v>18351.59</v>
      </c>
    </row>
    <row r="232" spans="1:8" x14ac:dyDescent="0.25">
      <c r="A232" s="4" t="s">
        <v>22</v>
      </c>
      <c r="B232" s="1">
        <v>45894</v>
      </c>
      <c r="C232">
        <v>5</v>
      </c>
      <c r="D232" s="2">
        <v>29088.559999999998</v>
      </c>
      <c r="E232" t="str">
        <f t="shared" si="12"/>
        <v>CUST0234</v>
      </c>
      <c r="F232">
        <f t="shared" ca="1" si="13"/>
        <v>138</v>
      </c>
      <c r="G232">
        <f t="shared" si="14"/>
        <v>5</v>
      </c>
      <c r="H232" s="2">
        <f t="shared" si="15"/>
        <v>29088.559999999998</v>
      </c>
    </row>
    <row r="233" spans="1:8" x14ac:dyDescent="0.25">
      <c r="A233" s="4" t="s">
        <v>1053</v>
      </c>
      <c r="B233" s="1">
        <v>45894</v>
      </c>
      <c r="C233">
        <v>2</v>
      </c>
      <c r="D233" s="2">
        <v>10438.509999999998</v>
      </c>
      <c r="E233" t="str">
        <f t="shared" si="12"/>
        <v>CUST0235</v>
      </c>
      <c r="F233">
        <f t="shared" ca="1" si="13"/>
        <v>138</v>
      </c>
      <c r="G233">
        <f t="shared" si="14"/>
        <v>2</v>
      </c>
      <c r="H233" s="2">
        <f t="shared" si="15"/>
        <v>10438.509999999998</v>
      </c>
    </row>
    <row r="234" spans="1:8" x14ac:dyDescent="0.25">
      <c r="A234" s="4" t="s">
        <v>85</v>
      </c>
      <c r="B234" s="1">
        <v>46016</v>
      </c>
      <c r="C234">
        <v>7</v>
      </c>
      <c r="D234" s="2">
        <v>18588.32</v>
      </c>
      <c r="E234" t="str">
        <f t="shared" si="12"/>
        <v>CUST0236</v>
      </c>
      <c r="F234">
        <f t="shared" ca="1" si="13"/>
        <v>16</v>
      </c>
      <c r="G234">
        <f t="shared" si="14"/>
        <v>7</v>
      </c>
      <c r="H234" s="2">
        <f t="shared" si="15"/>
        <v>18588.32</v>
      </c>
    </row>
    <row r="235" spans="1:8" x14ac:dyDescent="0.25">
      <c r="A235" s="4" t="s">
        <v>133</v>
      </c>
      <c r="B235" s="1">
        <v>45999</v>
      </c>
      <c r="C235">
        <v>4</v>
      </c>
      <c r="D235" s="2">
        <v>11369.619999999999</v>
      </c>
      <c r="E235" t="str">
        <f t="shared" si="12"/>
        <v>CUST0237</v>
      </c>
      <c r="F235">
        <f t="shared" ca="1" si="13"/>
        <v>33</v>
      </c>
      <c r="G235">
        <f t="shared" si="14"/>
        <v>4</v>
      </c>
      <c r="H235" s="2">
        <f t="shared" si="15"/>
        <v>11369.619999999999</v>
      </c>
    </row>
    <row r="236" spans="1:8" x14ac:dyDescent="0.25">
      <c r="A236" s="4" t="s">
        <v>303</v>
      </c>
      <c r="B236" s="1">
        <v>45860</v>
      </c>
      <c r="C236">
        <v>4</v>
      </c>
      <c r="D236" s="2">
        <v>23850.1</v>
      </c>
      <c r="E236" t="str">
        <f t="shared" si="12"/>
        <v>CUST0238</v>
      </c>
      <c r="F236">
        <f t="shared" ca="1" si="13"/>
        <v>172</v>
      </c>
      <c r="G236">
        <f t="shared" si="14"/>
        <v>4</v>
      </c>
      <c r="H236" s="2">
        <f t="shared" si="15"/>
        <v>23850.1</v>
      </c>
    </row>
    <row r="237" spans="1:8" x14ac:dyDescent="0.25">
      <c r="A237" s="4" t="s">
        <v>716</v>
      </c>
      <c r="B237" s="1">
        <v>45992</v>
      </c>
      <c r="C237">
        <v>4</v>
      </c>
      <c r="D237" s="2">
        <v>20577.250000000004</v>
      </c>
      <c r="E237" t="str">
        <f t="shared" si="12"/>
        <v>CUST0239</v>
      </c>
      <c r="F237">
        <f t="shared" ca="1" si="13"/>
        <v>40</v>
      </c>
      <c r="G237">
        <f t="shared" si="14"/>
        <v>4</v>
      </c>
      <c r="H237" s="2">
        <f t="shared" si="15"/>
        <v>20577.250000000004</v>
      </c>
    </row>
    <row r="238" spans="1:8" x14ac:dyDescent="0.25">
      <c r="A238" s="4" t="s">
        <v>152</v>
      </c>
      <c r="B238" s="1">
        <v>46000</v>
      </c>
      <c r="C238">
        <v>5</v>
      </c>
      <c r="D238" s="2">
        <v>23252.33</v>
      </c>
      <c r="E238" t="str">
        <f t="shared" si="12"/>
        <v>CUST0240</v>
      </c>
      <c r="F238">
        <f t="shared" ca="1" si="13"/>
        <v>32</v>
      </c>
      <c r="G238">
        <f t="shared" si="14"/>
        <v>5</v>
      </c>
      <c r="H238" s="2">
        <f t="shared" si="15"/>
        <v>23252.33</v>
      </c>
    </row>
    <row r="239" spans="1:8" x14ac:dyDescent="0.25">
      <c r="A239" s="4" t="s">
        <v>350</v>
      </c>
      <c r="B239" s="1">
        <v>45862</v>
      </c>
      <c r="C239">
        <v>6</v>
      </c>
      <c r="D239" s="2">
        <v>24303.239999999998</v>
      </c>
      <c r="E239" t="str">
        <f t="shared" si="12"/>
        <v>CUST0241</v>
      </c>
      <c r="F239">
        <f t="shared" ca="1" si="13"/>
        <v>170</v>
      </c>
      <c r="G239">
        <f t="shared" si="14"/>
        <v>6</v>
      </c>
      <c r="H239" s="2">
        <f t="shared" si="15"/>
        <v>24303.239999999998</v>
      </c>
    </row>
    <row r="240" spans="1:8" x14ac:dyDescent="0.25">
      <c r="A240" s="4" t="s">
        <v>124</v>
      </c>
      <c r="B240" s="1">
        <v>45989</v>
      </c>
      <c r="C240">
        <v>5</v>
      </c>
      <c r="D240" s="2">
        <v>21986.25</v>
      </c>
      <c r="E240" t="str">
        <f t="shared" si="12"/>
        <v>CUST0242</v>
      </c>
      <c r="F240">
        <f t="shared" ca="1" si="13"/>
        <v>43</v>
      </c>
      <c r="G240">
        <f t="shared" si="14"/>
        <v>5</v>
      </c>
      <c r="H240" s="2">
        <f t="shared" si="15"/>
        <v>21986.25</v>
      </c>
    </row>
    <row r="241" spans="1:8" x14ac:dyDescent="0.25">
      <c r="A241" s="4" t="s">
        <v>98</v>
      </c>
      <c r="B241" s="1">
        <v>45631</v>
      </c>
      <c r="C241">
        <v>6</v>
      </c>
      <c r="D241" s="2">
        <v>32053.74</v>
      </c>
      <c r="E241" t="str">
        <f t="shared" si="12"/>
        <v>CUST0243</v>
      </c>
      <c r="F241">
        <f t="shared" ca="1" si="13"/>
        <v>401</v>
      </c>
      <c r="G241">
        <f t="shared" si="14"/>
        <v>6</v>
      </c>
      <c r="H241" s="2">
        <f t="shared" si="15"/>
        <v>32053.74</v>
      </c>
    </row>
    <row r="242" spans="1:8" x14ac:dyDescent="0.25">
      <c r="A242" s="4" t="s">
        <v>1097</v>
      </c>
      <c r="B242" s="1">
        <v>45515</v>
      </c>
      <c r="C242">
        <v>2</v>
      </c>
      <c r="D242" s="2">
        <v>2314.02</v>
      </c>
      <c r="E242" t="str">
        <f t="shared" si="12"/>
        <v>CUST0244</v>
      </c>
      <c r="F242">
        <f t="shared" ca="1" si="13"/>
        <v>517</v>
      </c>
      <c r="G242">
        <f t="shared" si="14"/>
        <v>2</v>
      </c>
      <c r="H242" s="2">
        <f t="shared" si="15"/>
        <v>2314.02</v>
      </c>
    </row>
    <row r="243" spans="1:8" x14ac:dyDescent="0.25">
      <c r="A243" s="4" t="s">
        <v>214</v>
      </c>
      <c r="B243" s="1">
        <v>45809</v>
      </c>
      <c r="C243">
        <v>5</v>
      </c>
      <c r="D243" s="2">
        <v>25924.18</v>
      </c>
      <c r="E243" t="str">
        <f t="shared" si="12"/>
        <v>CUST0245</v>
      </c>
      <c r="F243">
        <f t="shared" ca="1" si="13"/>
        <v>223</v>
      </c>
      <c r="G243">
        <f t="shared" si="14"/>
        <v>5</v>
      </c>
      <c r="H243" s="2">
        <f t="shared" si="15"/>
        <v>25924.18</v>
      </c>
    </row>
    <row r="244" spans="1:8" x14ac:dyDescent="0.25">
      <c r="A244" s="4" t="s">
        <v>90</v>
      </c>
      <c r="B244" s="1">
        <v>45989</v>
      </c>
      <c r="C244">
        <v>3</v>
      </c>
      <c r="D244" s="2">
        <v>13203.72</v>
      </c>
      <c r="E244" t="str">
        <f t="shared" si="12"/>
        <v>CUST0246</v>
      </c>
      <c r="F244">
        <f t="shared" ca="1" si="13"/>
        <v>43</v>
      </c>
      <c r="G244">
        <f t="shared" si="14"/>
        <v>3</v>
      </c>
      <c r="H244" s="2">
        <f t="shared" si="15"/>
        <v>13203.72</v>
      </c>
    </row>
    <row r="245" spans="1:8" x14ac:dyDescent="0.25">
      <c r="A245" s="4" t="s">
        <v>788</v>
      </c>
      <c r="B245" s="1">
        <v>45718</v>
      </c>
      <c r="C245">
        <v>2</v>
      </c>
      <c r="D245" s="2">
        <v>10665.619999999999</v>
      </c>
      <c r="E245" t="str">
        <f t="shared" si="12"/>
        <v>CUST0247</v>
      </c>
      <c r="F245">
        <f t="shared" ca="1" si="13"/>
        <v>314</v>
      </c>
      <c r="G245">
        <f t="shared" si="14"/>
        <v>2</v>
      </c>
      <c r="H245" s="2">
        <f t="shared" si="15"/>
        <v>10665.619999999999</v>
      </c>
    </row>
    <row r="246" spans="1:8" x14ac:dyDescent="0.25">
      <c r="A246" s="4" t="s">
        <v>472</v>
      </c>
      <c r="B246" s="1">
        <v>45878</v>
      </c>
      <c r="C246">
        <v>2</v>
      </c>
      <c r="D246" s="2">
        <v>9961.99</v>
      </c>
      <c r="E246" t="str">
        <f t="shared" si="12"/>
        <v>CUST0248</v>
      </c>
      <c r="F246">
        <f t="shared" ca="1" si="13"/>
        <v>154</v>
      </c>
      <c r="G246">
        <f t="shared" si="14"/>
        <v>2</v>
      </c>
      <c r="H246" s="2">
        <f t="shared" si="15"/>
        <v>9961.99</v>
      </c>
    </row>
    <row r="247" spans="1:8" x14ac:dyDescent="0.25">
      <c r="A247" s="4" t="s">
        <v>92</v>
      </c>
      <c r="B247" s="1">
        <v>46018</v>
      </c>
      <c r="C247">
        <v>3</v>
      </c>
      <c r="D247" s="2">
        <v>12925</v>
      </c>
      <c r="E247" t="str">
        <f t="shared" si="12"/>
        <v>CUST0249</v>
      </c>
      <c r="F247">
        <f t="shared" ca="1" si="13"/>
        <v>14</v>
      </c>
      <c r="G247">
        <f t="shared" si="14"/>
        <v>3</v>
      </c>
      <c r="H247" s="2">
        <f t="shared" si="15"/>
        <v>12925</v>
      </c>
    </row>
    <row r="248" spans="1:8" x14ac:dyDescent="0.25">
      <c r="A248" s="4" t="s">
        <v>112</v>
      </c>
      <c r="B248" s="1">
        <v>46021</v>
      </c>
      <c r="C248">
        <v>5</v>
      </c>
      <c r="D248" s="2">
        <v>13805.3</v>
      </c>
      <c r="E248" t="str">
        <f t="shared" si="12"/>
        <v>CUST0250</v>
      </c>
      <c r="F248">
        <f t="shared" ca="1" si="13"/>
        <v>11</v>
      </c>
      <c r="G248">
        <f t="shared" si="14"/>
        <v>5</v>
      </c>
      <c r="H248" s="2">
        <f t="shared" si="15"/>
        <v>13805.3</v>
      </c>
    </row>
    <row r="249" spans="1:8" x14ac:dyDescent="0.25">
      <c r="A249" s="4" t="s">
        <v>1259</v>
      </c>
      <c r="B249" s="1">
        <v>46021</v>
      </c>
      <c r="C249">
        <v>1000</v>
      </c>
      <c r="D249" s="2">
        <v>4987692.080000001</v>
      </c>
      <c r="E249" t="str">
        <f t="shared" si="12"/>
        <v>Grand Total</v>
      </c>
      <c r="F249">
        <f t="shared" ca="1" si="13"/>
        <v>11</v>
      </c>
      <c r="G249">
        <f t="shared" si="14"/>
        <v>1000</v>
      </c>
      <c r="H249" s="2">
        <f t="shared" si="15"/>
        <v>4987692.080000001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DC17-9E1E-4050-8431-C32A5CF87EF9}">
  <dimension ref="A1:E1001"/>
  <sheetViews>
    <sheetView workbookViewId="0">
      <selection activeCell="D7" sqref="D7"/>
    </sheetView>
  </sheetViews>
  <sheetFormatPr defaultRowHeight="15" x14ac:dyDescent="0.25"/>
  <cols>
    <col min="1" max="1" width="12" bestFit="1" customWidth="1"/>
    <col min="2" max="2" width="14.28515625" bestFit="1" customWidth="1"/>
    <col min="3" max="3" width="13.140625" bestFit="1" customWidth="1"/>
    <col min="4" max="4" width="15.140625" bestFit="1" customWidth="1"/>
    <col min="5" max="5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45434</v>
      </c>
      <c r="D2" t="s">
        <v>7</v>
      </c>
      <c r="E2" s="2">
        <v>9855.65</v>
      </c>
    </row>
    <row r="3" spans="1:5" x14ac:dyDescent="0.25">
      <c r="A3" t="s">
        <v>8</v>
      </c>
      <c r="B3" t="s">
        <v>9</v>
      </c>
      <c r="C3" s="1">
        <v>46007</v>
      </c>
      <c r="D3" t="s">
        <v>10</v>
      </c>
      <c r="E3" s="2">
        <v>2969.12</v>
      </c>
    </row>
    <row r="4" spans="1:5" x14ac:dyDescent="0.25">
      <c r="A4" t="s">
        <v>11</v>
      </c>
      <c r="B4" t="s">
        <v>12</v>
      </c>
      <c r="C4" s="1">
        <v>45749</v>
      </c>
      <c r="D4" t="s">
        <v>13</v>
      </c>
      <c r="E4" s="2">
        <v>1480.43</v>
      </c>
    </row>
    <row r="5" spans="1:5" x14ac:dyDescent="0.25">
      <c r="A5" t="s">
        <v>14</v>
      </c>
      <c r="B5" t="s">
        <v>15</v>
      </c>
      <c r="C5" s="1">
        <v>45362</v>
      </c>
      <c r="D5" t="s">
        <v>16</v>
      </c>
      <c r="E5" s="2">
        <v>2252.12</v>
      </c>
    </row>
    <row r="6" spans="1:5" x14ac:dyDescent="0.25">
      <c r="A6" t="s">
        <v>17</v>
      </c>
      <c r="B6" t="s">
        <v>18</v>
      </c>
      <c r="C6" s="1">
        <v>45829</v>
      </c>
      <c r="D6" t="s">
        <v>7</v>
      </c>
      <c r="E6" s="2">
        <v>519.54999999999995</v>
      </c>
    </row>
    <row r="7" spans="1:5" x14ac:dyDescent="0.25">
      <c r="A7" t="s">
        <v>19</v>
      </c>
      <c r="B7" t="s">
        <v>20</v>
      </c>
      <c r="C7" s="1">
        <v>45749</v>
      </c>
      <c r="D7" t="s">
        <v>13</v>
      </c>
      <c r="E7" s="2">
        <v>1806.86</v>
      </c>
    </row>
    <row r="8" spans="1:5" x14ac:dyDescent="0.25">
      <c r="A8" t="s">
        <v>21</v>
      </c>
      <c r="B8" t="s">
        <v>22</v>
      </c>
      <c r="C8" s="1">
        <v>45340</v>
      </c>
      <c r="D8" t="s">
        <v>10</v>
      </c>
      <c r="E8" s="2">
        <v>1060.79</v>
      </c>
    </row>
    <row r="9" spans="1:5" x14ac:dyDescent="0.25">
      <c r="A9" t="s">
        <v>23</v>
      </c>
      <c r="B9" t="s">
        <v>24</v>
      </c>
      <c r="C9" s="1">
        <v>45523</v>
      </c>
      <c r="D9" t="s">
        <v>10</v>
      </c>
      <c r="E9" s="2">
        <v>1170.32</v>
      </c>
    </row>
    <row r="10" spans="1:5" x14ac:dyDescent="0.25">
      <c r="A10" t="s">
        <v>25</v>
      </c>
      <c r="B10" t="s">
        <v>26</v>
      </c>
      <c r="C10" s="1">
        <v>45464</v>
      </c>
      <c r="D10" t="s">
        <v>27</v>
      </c>
      <c r="E10" s="2">
        <v>6402.99</v>
      </c>
    </row>
    <row r="11" spans="1:5" x14ac:dyDescent="0.25">
      <c r="A11" t="s">
        <v>28</v>
      </c>
      <c r="B11" t="s">
        <v>29</v>
      </c>
      <c r="C11" s="1">
        <v>45719</v>
      </c>
      <c r="D11" t="s">
        <v>7</v>
      </c>
      <c r="E11" s="2">
        <v>1078.73</v>
      </c>
    </row>
    <row r="12" spans="1:5" x14ac:dyDescent="0.25">
      <c r="A12" t="s">
        <v>30</v>
      </c>
      <c r="B12" t="s">
        <v>31</v>
      </c>
      <c r="C12" s="1">
        <v>45301</v>
      </c>
      <c r="D12" t="s">
        <v>10</v>
      </c>
      <c r="E12" s="2">
        <v>7906.53</v>
      </c>
    </row>
    <row r="13" spans="1:5" x14ac:dyDescent="0.25">
      <c r="A13" t="s">
        <v>32</v>
      </c>
      <c r="B13" t="s">
        <v>33</v>
      </c>
      <c r="C13" s="1">
        <v>45925</v>
      </c>
      <c r="D13" t="s">
        <v>34</v>
      </c>
      <c r="E13" s="2">
        <v>7747.17</v>
      </c>
    </row>
    <row r="14" spans="1:5" x14ac:dyDescent="0.25">
      <c r="A14" t="s">
        <v>35</v>
      </c>
      <c r="B14" t="s">
        <v>36</v>
      </c>
      <c r="C14" s="1">
        <v>45469</v>
      </c>
      <c r="D14" t="s">
        <v>7</v>
      </c>
      <c r="E14" s="2">
        <v>4516.57</v>
      </c>
    </row>
    <row r="15" spans="1:5" x14ac:dyDescent="0.25">
      <c r="A15" t="s">
        <v>37</v>
      </c>
      <c r="B15" t="s">
        <v>38</v>
      </c>
      <c r="C15" s="1">
        <v>45645</v>
      </c>
      <c r="D15" t="s">
        <v>34</v>
      </c>
      <c r="E15" s="2">
        <v>7575.95</v>
      </c>
    </row>
    <row r="16" spans="1:5" x14ac:dyDescent="0.25">
      <c r="A16" t="s">
        <v>39</v>
      </c>
      <c r="B16" t="s">
        <v>40</v>
      </c>
      <c r="C16" s="1">
        <v>45767</v>
      </c>
      <c r="D16" t="s">
        <v>13</v>
      </c>
      <c r="E16" s="2">
        <v>7335.42</v>
      </c>
    </row>
    <row r="17" spans="1:5" x14ac:dyDescent="0.25">
      <c r="A17" t="s">
        <v>41</v>
      </c>
      <c r="B17" t="s">
        <v>42</v>
      </c>
      <c r="C17" s="1">
        <v>45716</v>
      </c>
      <c r="D17" t="s">
        <v>13</v>
      </c>
      <c r="E17" s="2">
        <v>3929.63</v>
      </c>
    </row>
    <row r="18" spans="1:5" x14ac:dyDescent="0.25">
      <c r="A18" t="s">
        <v>43</v>
      </c>
      <c r="B18" t="s">
        <v>44</v>
      </c>
      <c r="C18" s="1">
        <v>45361</v>
      </c>
      <c r="D18" t="s">
        <v>16</v>
      </c>
      <c r="E18" s="2">
        <v>362.93</v>
      </c>
    </row>
    <row r="19" spans="1:5" x14ac:dyDescent="0.25">
      <c r="A19" t="s">
        <v>45</v>
      </c>
      <c r="B19" t="s">
        <v>46</v>
      </c>
      <c r="C19" s="1">
        <v>45377</v>
      </c>
      <c r="D19" t="s">
        <v>34</v>
      </c>
      <c r="E19" s="2">
        <v>1514.05</v>
      </c>
    </row>
    <row r="20" spans="1:5" x14ac:dyDescent="0.25">
      <c r="A20" t="s">
        <v>47</v>
      </c>
      <c r="B20" t="s">
        <v>48</v>
      </c>
      <c r="C20" s="1">
        <v>45450</v>
      </c>
      <c r="D20" t="s">
        <v>34</v>
      </c>
      <c r="E20" s="2">
        <v>2912.28</v>
      </c>
    </row>
    <row r="21" spans="1:5" x14ac:dyDescent="0.25">
      <c r="A21" t="s">
        <v>49</v>
      </c>
      <c r="B21" t="s">
        <v>50</v>
      </c>
      <c r="C21" s="1">
        <v>45796</v>
      </c>
      <c r="D21" t="s">
        <v>10</v>
      </c>
      <c r="E21" s="2">
        <v>9723.51</v>
      </c>
    </row>
    <row r="22" spans="1:5" x14ac:dyDescent="0.25">
      <c r="A22" t="s">
        <v>51</v>
      </c>
      <c r="B22" t="s">
        <v>52</v>
      </c>
      <c r="C22" s="1">
        <v>45713</v>
      </c>
      <c r="D22" t="s">
        <v>27</v>
      </c>
      <c r="E22" s="2">
        <v>9110.99</v>
      </c>
    </row>
    <row r="23" spans="1:5" x14ac:dyDescent="0.25">
      <c r="A23" t="s">
        <v>53</v>
      </c>
      <c r="B23" t="s">
        <v>54</v>
      </c>
      <c r="C23" s="1">
        <v>45485</v>
      </c>
      <c r="D23" t="s">
        <v>16</v>
      </c>
      <c r="E23" s="2">
        <v>9663.5</v>
      </c>
    </row>
    <row r="24" spans="1:5" x14ac:dyDescent="0.25">
      <c r="A24" t="s">
        <v>55</v>
      </c>
      <c r="B24" t="s">
        <v>56</v>
      </c>
      <c r="C24" s="1">
        <v>45412</v>
      </c>
      <c r="D24" t="s">
        <v>13</v>
      </c>
      <c r="E24" s="2">
        <v>375.3</v>
      </c>
    </row>
    <row r="25" spans="1:5" x14ac:dyDescent="0.25">
      <c r="A25" t="s">
        <v>57</v>
      </c>
      <c r="B25" t="s">
        <v>58</v>
      </c>
      <c r="C25" s="1">
        <v>45458</v>
      </c>
      <c r="D25" t="s">
        <v>16</v>
      </c>
      <c r="E25" s="2">
        <v>7234.69</v>
      </c>
    </row>
    <row r="26" spans="1:5" x14ac:dyDescent="0.25">
      <c r="A26" t="s">
        <v>59</v>
      </c>
      <c r="B26" t="s">
        <v>60</v>
      </c>
      <c r="C26" s="1">
        <v>45365</v>
      </c>
      <c r="D26" t="s">
        <v>10</v>
      </c>
      <c r="E26" s="2">
        <v>9402.56</v>
      </c>
    </row>
    <row r="27" spans="1:5" x14ac:dyDescent="0.25">
      <c r="A27" t="s">
        <v>61</v>
      </c>
      <c r="B27" t="s">
        <v>62</v>
      </c>
      <c r="C27" s="1">
        <v>45855</v>
      </c>
      <c r="D27" t="s">
        <v>63</v>
      </c>
      <c r="E27" s="2">
        <v>5141.6400000000003</v>
      </c>
    </row>
    <row r="28" spans="1:5" x14ac:dyDescent="0.25">
      <c r="A28" t="s">
        <v>64</v>
      </c>
      <c r="B28" t="s">
        <v>65</v>
      </c>
      <c r="C28" s="1">
        <v>45871</v>
      </c>
      <c r="D28" t="s">
        <v>34</v>
      </c>
      <c r="E28" s="2">
        <v>511.7</v>
      </c>
    </row>
    <row r="29" spans="1:5" x14ac:dyDescent="0.25">
      <c r="A29" t="s">
        <v>66</v>
      </c>
      <c r="B29" t="s">
        <v>67</v>
      </c>
      <c r="C29" s="1">
        <v>45848</v>
      </c>
      <c r="D29" t="s">
        <v>68</v>
      </c>
      <c r="E29" s="2">
        <v>1656.42</v>
      </c>
    </row>
    <row r="30" spans="1:5" x14ac:dyDescent="0.25">
      <c r="A30" t="s">
        <v>69</v>
      </c>
      <c r="B30" t="s">
        <v>70</v>
      </c>
      <c r="C30" s="1">
        <v>45753</v>
      </c>
      <c r="D30" t="s">
        <v>16</v>
      </c>
      <c r="E30" s="2">
        <v>2531.89</v>
      </c>
    </row>
    <row r="31" spans="1:5" x14ac:dyDescent="0.25">
      <c r="A31" t="s">
        <v>71</v>
      </c>
      <c r="B31" t="s">
        <v>72</v>
      </c>
      <c r="C31" s="1">
        <v>45606</v>
      </c>
      <c r="D31" t="s">
        <v>27</v>
      </c>
      <c r="E31" s="2">
        <v>3181.59</v>
      </c>
    </row>
    <row r="32" spans="1:5" x14ac:dyDescent="0.25">
      <c r="A32" t="s">
        <v>73</v>
      </c>
      <c r="B32" t="s">
        <v>74</v>
      </c>
      <c r="C32" s="1">
        <v>45893</v>
      </c>
      <c r="D32" t="s">
        <v>10</v>
      </c>
      <c r="E32" s="2">
        <v>8948.15</v>
      </c>
    </row>
    <row r="33" spans="1:5" x14ac:dyDescent="0.25">
      <c r="A33" t="s">
        <v>75</v>
      </c>
      <c r="B33" t="s">
        <v>76</v>
      </c>
      <c r="C33" s="1">
        <v>45551</v>
      </c>
      <c r="D33" t="s">
        <v>63</v>
      </c>
      <c r="E33" s="2">
        <v>4118.91</v>
      </c>
    </row>
    <row r="34" spans="1:5" x14ac:dyDescent="0.25">
      <c r="A34" t="s">
        <v>77</v>
      </c>
      <c r="B34" t="s">
        <v>78</v>
      </c>
      <c r="C34" s="1">
        <v>45772</v>
      </c>
      <c r="D34" t="s">
        <v>7</v>
      </c>
      <c r="E34" s="2">
        <v>1088.22</v>
      </c>
    </row>
    <row r="35" spans="1:5" x14ac:dyDescent="0.25">
      <c r="A35" t="s">
        <v>79</v>
      </c>
      <c r="B35" t="s">
        <v>80</v>
      </c>
      <c r="C35" s="1">
        <v>45736</v>
      </c>
      <c r="D35" t="s">
        <v>27</v>
      </c>
      <c r="E35" s="2">
        <v>7399.39</v>
      </c>
    </row>
    <row r="36" spans="1:5" x14ac:dyDescent="0.25">
      <c r="A36" t="s">
        <v>81</v>
      </c>
      <c r="B36" t="s">
        <v>62</v>
      </c>
      <c r="C36" s="1">
        <v>45336</v>
      </c>
      <c r="D36" t="s">
        <v>10</v>
      </c>
      <c r="E36" s="2">
        <v>2922.01</v>
      </c>
    </row>
    <row r="37" spans="1:5" x14ac:dyDescent="0.25">
      <c r="A37" t="s">
        <v>82</v>
      </c>
      <c r="B37" t="s">
        <v>83</v>
      </c>
      <c r="C37" s="1">
        <v>45863</v>
      </c>
      <c r="D37" t="s">
        <v>34</v>
      </c>
      <c r="E37" s="2">
        <v>7125.24</v>
      </c>
    </row>
    <row r="38" spans="1:5" x14ac:dyDescent="0.25">
      <c r="A38" t="s">
        <v>84</v>
      </c>
      <c r="B38" t="s">
        <v>85</v>
      </c>
      <c r="C38" s="1">
        <v>45774</v>
      </c>
      <c r="D38" t="s">
        <v>27</v>
      </c>
      <c r="E38" s="2">
        <v>3030.87</v>
      </c>
    </row>
    <row r="39" spans="1:5" x14ac:dyDescent="0.25">
      <c r="A39" t="s">
        <v>86</v>
      </c>
      <c r="B39" t="s">
        <v>87</v>
      </c>
      <c r="C39" s="1">
        <v>45333</v>
      </c>
      <c r="D39" t="s">
        <v>13</v>
      </c>
      <c r="E39" s="2">
        <v>1747.87</v>
      </c>
    </row>
    <row r="40" spans="1:5" x14ac:dyDescent="0.25">
      <c r="A40" t="s">
        <v>88</v>
      </c>
      <c r="B40" t="s">
        <v>12</v>
      </c>
      <c r="C40" s="1">
        <v>46012</v>
      </c>
      <c r="D40" t="s">
        <v>7</v>
      </c>
      <c r="E40" s="2">
        <v>9489.9599999999991</v>
      </c>
    </row>
    <row r="41" spans="1:5" x14ac:dyDescent="0.25">
      <c r="A41" t="s">
        <v>89</v>
      </c>
      <c r="B41" t="s">
        <v>90</v>
      </c>
      <c r="C41" s="1">
        <v>45989</v>
      </c>
      <c r="D41" t="s">
        <v>34</v>
      </c>
      <c r="E41" s="2">
        <v>6171.81</v>
      </c>
    </row>
    <row r="42" spans="1:5" x14ac:dyDescent="0.25">
      <c r="A42" t="s">
        <v>91</v>
      </c>
      <c r="B42" t="s">
        <v>92</v>
      </c>
      <c r="C42" s="1">
        <v>45523</v>
      </c>
      <c r="D42" t="s">
        <v>7</v>
      </c>
      <c r="E42" s="2">
        <v>2594.4299999999998</v>
      </c>
    </row>
    <row r="43" spans="1:5" x14ac:dyDescent="0.25">
      <c r="A43" t="s">
        <v>93</v>
      </c>
      <c r="B43" t="s">
        <v>94</v>
      </c>
      <c r="C43" s="1">
        <v>45847</v>
      </c>
      <c r="D43" t="s">
        <v>27</v>
      </c>
      <c r="E43" s="2">
        <v>4876.21</v>
      </c>
    </row>
    <row r="44" spans="1:5" x14ac:dyDescent="0.25">
      <c r="A44" t="s">
        <v>95</v>
      </c>
      <c r="B44" t="s">
        <v>96</v>
      </c>
      <c r="C44" s="1">
        <v>45867</v>
      </c>
      <c r="D44" t="s">
        <v>16</v>
      </c>
      <c r="E44" s="2">
        <v>7869.8</v>
      </c>
    </row>
    <row r="45" spans="1:5" x14ac:dyDescent="0.25">
      <c r="A45" t="s">
        <v>97</v>
      </c>
      <c r="B45" t="s">
        <v>98</v>
      </c>
      <c r="C45" s="1">
        <v>45424</v>
      </c>
      <c r="D45" t="s">
        <v>34</v>
      </c>
      <c r="E45" s="2">
        <v>4329.34</v>
      </c>
    </row>
    <row r="46" spans="1:5" x14ac:dyDescent="0.25">
      <c r="A46" t="s">
        <v>99</v>
      </c>
      <c r="B46" t="s">
        <v>100</v>
      </c>
      <c r="C46" s="1">
        <v>45652</v>
      </c>
      <c r="D46" t="s">
        <v>10</v>
      </c>
      <c r="E46" s="2">
        <v>4030.11</v>
      </c>
    </row>
    <row r="47" spans="1:5" x14ac:dyDescent="0.25">
      <c r="A47" t="s">
        <v>101</v>
      </c>
      <c r="B47" t="s">
        <v>102</v>
      </c>
      <c r="C47" s="1">
        <v>45777</v>
      </c>
      <c r="D47" t="s">
        <v>27</v>
      </c>
      <c r="E47" s="2">
        <v>3385.45</v>
      </c>
    </row>
    <row r="48" spans="1:5" x14ac:dyDescent="0.25">
      <c r="A48" t="s">
        <v>103</v>
      </c>
      <c r="B48" t="s">
        <v>104</v>
      </c>
      <c r="C48" s="1">
        <v>45599</v>
      </c>
      <c r="D48" t="s">
        <v>34</v>
      </c>
      <c r="E48" s="2">
        <v>7795.91</v>
      </c>
    </row>
    <row r="49" spans="1:5" x14ac:dyDescent="0.25">
      <c r="A49" t="s">
        <v>105</v>
      </c>
      <c r="B49" t="s">
        <v>106</v>
      </c>
      <c r="C49" s="1">
        <v>45327</v>
      </c>
      <c r="D49" t="s">
        <v>27</v>
      </c>
      <c r="E49" s="2">
        <v>1731.24</v>
      </c>
    </row>
    <row r="50" spans="1:5" x14ac:dyDescent="0.25">
      <c r="A50" t="s">
        <v>107</v>
      </c>
      <c r="B50" t="s">
        <v>108</v>
      </c>
      <c r="C50" s="1">
        <v>45417</v>
      </c>
      <c r="D50" t="s">
        <v>10</v>
      </c>
      <c r="E50" s="2">
        <v>8159.08</v>
      </c>
    </row>
    <row r="51" spans="1:5" x14ac:dyDescent="0.25">
      <c r="A51" t="s">
        <v>109</v>
      </c>
      <c r="B51" t="s">
        <v>110</v>
      </c>
      <c r="C51" s="1">
        <v>45885</v>
      </c>
      <c r="D51" t="s">
        <v>68</v>
      </c>
      <c r="E51" s="2">
        <v>6477.39</v>
      </c>
    </row>
    <row r="52" spans="1:5" x14ac:dyDescent="0.25">
      <c r="A52" t="s">
        <v>111</v>
      </c>
      <c r="B52" t="s">
        <v>112</v>
      </c>
      <c r="C52" s="1">
        <v>45353</v>
      </c>
      <c r="D52" t="s">
        <v>68</v>
      </c>
      <c r="E52" s="2">
        <v>2552.0700000000002</v>
      </c>
    </row>
    <row r="53" spans="1:5" x14ac:dyDescent="0.25">
      <c r="A53" t="s">
        <v>113</v>
      </c>
      <c r="B53" t="s">
        <v>114</v>
      </c>
      <c r="C53" s="1">
        <v>45495</v>
      </c>
      <c r="D53" t="s">
        <v>34</v>
      </c>
      <c r="E53" s="2">
        <v>885</v>
      </c>
    </row>
    <row r="54" spans="1:5" x14ac:dyDescent="0.25">
      <c r="A54" t="s">
        <v>115</v>
      </c>
      <c r="B54" t="s">
        <v>116</v>
      </c>
      <c r="C54" s="1">
        <v>45868</v>
      </c>
      <c r="D54" t="s">
        <v>13</v>
      </c>
      <c r="E54" s="2">
        <v>6750.23</v>
      </c>
    </row>
    <row r="55" spans="1:5" x14ac:dyDescent="0.25">
      <c r="A55" t="s">
        <v>117</v>
      </c>
      <c r="B55" t="s">
        <v>118</v>
      </c>
      <c r="C55" s="1">
        <v>45739</v>
      </c>
      <c r="D55" t="s">
        <v>63</v>
      </c>
      <c r="E55" s="2">
        <v>8466.84</v>
      </c>
    </row>
    <row r="56" spans="1:5" x14ac:dyDescent="0.25">
      <c r="A56" t="s">
        <v>119</v>
      </c>
      <c r="B56" t="s">
        <v>120</v>
      </c>
      <c r="C56" s="1">
        <v>45614</v>
      </c>
      <c r="D56" t="s">
        <v>10</v>
      </c>
      <c r="E56" s="2">
        <v>806.05</v>
      </c>
    </row>
    <row r="57" spans="1:5" x14ac:dyDescent="0.25">
      <c r="A57" t="s">
        <v>121</v>
      </c>
      <c r="B57" t="s">
        <v>122</v>
      </c>
      <c r="C57" s="1">
        <v>45976</v>
      </c>
      <c r="D57" t="s">
        <v>34</v>
      </c>
      <c r="E57" s="2">
        <v>1159.99</v>
      </c>
    </row>
    <row r="58" spans="1:5" x14ac:dyDescent="0.25">
      <c r="A58" t="s">
        <v>123</v>
      </c>
      <c r="B58" t="s">
        <v>124</v>
      </c>
      <c r="C58" s="1">
        <v>45416</v>
      </c>
      <c r="D58" t="s">
        <v>16</v>
      </c>
      <c r="E58" s="2">
        <v>5950.85</v>
      </c>
    </row>
    <row r="59" spans="1:5" x14ac:dyDescent="0.25">
      <c r="A59" t="s">
        <v>125</v>
      </c>
      <c r="B59" t="s">
        <v>29</v>
      </c>
      <c r="C59" s="1">
        <v>45340</v>
      </c>
      <c r="D59" t="s">
        <v>7</v>
      </c>
      <c r="E59" s="2">
        <v>1321.19</v>
      </c>
    </row>
    <row r="60" spans="1:5" x14ac:dyDescent="0.25">
      <c r="A60" t="s">
        <v>126</v>
      </c>
      <c r="B60" t="s">
        <v>127</v>
      </c>
      <c r="C60" s="1">
        <v>45867</v>
      </c>
      <c r="D60" t="s">
        <v>27</v>
      </c>
      <c r="E60" s="2">
        <v>6331.92</v>
      </c>
    </row>
    <row r="61" spans="1:5" x14ac:dyDescent="0.25">
      <c r="A61" t="s">
        <v>128</v>
      </c>
      <c r="B61" t="s">
        <v>129</v>
      </c>
      <c r="C61" s="1">
        <v>45749</v>
      </c>
      <c r="D61" t="s">
        <v>16</v>
      </c>
      <c r="E61" s="2">
        <v>3259.7</v>
      </c>
    </row>
    <row r="62" spans="1:5" x14ac:dyDescent="0.25">
      <c r="A62" t="s">
        <v>130</v>
      </c>
      <c r="B62" t="s">
        <v>131</v>
      </c>
      <c r="C62" s="1">
        <v>45373</v>
      </c>
      <c r="D62" t="s">
        <v>63</v>
      </c>
      <c r="E62" s="2">
        <v>5812.21</v>
      </c>
    </row>
    <row r="63" spans="1:5" x14ac:dyDescent="0.25">
      <c r="A63" t="s">
        <v>132</v>
      </c>
      <c r="B63" t="s">
        <v>133</v>
      </c>
      <c r="C63" s="1">
        <v>45897</v>
      </c>
      <c r="D63" t="s">
        <v>10</v>
      </c>
      <c r="E63" s="2">
        <v>6697.75</v>
      </c>
    </row>
    <row r="64" spans="1:5" x14ac:dyDescent="0.25">
      <c r="A64" t="s">
        <v>134</v>
      </c>
      <c r="B64" t="s">
        <v>135</v>
      </c>
      <c r="C64" s="1">
        <v>45668</v>
      </c>
      <c r="D64" t="s">
        <v>7</v>
      </c>
      <c r="E64" s="2">
        <v>699.98</v>
      </c>
    </row>
    <row r="65" spans="1:5" x14ac:dyDescent="0.25">
      <c r="A65" t="s">
        <v>136</v>
      </c>
      <c r="B65" t="s">
        <v>137</v>
      </c>
      <c r="C65" s="1">
        <v>45639</v>
      </c>
      <c r="D65" t="s">
        <v>10</v>
      </c>
      <c r="E65" s="2">
        <v>1267.8599999999999</v>
      </c>
    </row>
    <row r="66" spans="1:5" x14ac:dyDescent="0.25">
      <c r="A66" t="s">
        <v>138</v>
      </c>
      <c r="B66" t="s">
        <v>22</v>
      </c>
      <c r="C66" s="1">
        <v>45786</v>
      </c>
      <c r="D66" t="s">
        <v>16</v>
      </c>
      <c r="E66" s="2">
        <v>9168.1</v>
      </c>
    </row>
    <row r="67" spans="1:5" x14ac:dyDescent="0.25">
      <c r="A67" t="s">
        <v>139</v>
      </c>
      <c r="B67" t="s">
        <v>140</v>
      </c>
      <c r="C67" s="1">
        <v>45490</v>
      </c>
      <c r="D67" t="s">
        <v>10</v>
      </c>
      <c r="E67" s="2">
        <v>8633.85</v>
      </c>
    </row>
    <row r="68" spans="1:5" x14ac:dyDescent="0.25">
      <c r="A68" t="s">
        <v>141</v>
      </c>
      <c r="B68" t="s">
        <v>142</v>
      </c>
      <c r="C68" s="1">
        <v>45712</v>
      </c>
      <c r="D68" t="s">
        <v>63</v>
      </c>
      <c r="E68" s="2">
        <v>9793.2099999999991</v>
      </c>
    </row>
    <row r="69" spans="1:5" x14ac:dyDescent="0.25">
      <c r="A69" t="s">
        <v>143</v>
      </c>
      <c r="B69" t="s">
        <v>144</v>
      </c>
      <c r="C69" s="1">
        <v>45597</v>
      </c>
      <c r="D69" t="s">
        <v>13</v>
      </c>
      <c r="E69" s="2">
        <v>6540.63</v>
      </c>
    </row>
    <row r="70" spans="1:5" x14ac:dyDescent="0.25">
      <c r="A70" t="s">
        <v>145</v>
      </c>
      <c r="B70" t="s">
        <v>146</v>
      </c>
      <c r="C70" s="1">
        <v>45523</v>
      </c>
      <c r="D70" t="s">
        <v>7</v>
      </c>
      <c r="E70" s="2">
        <v>2432.67</v>
      </c>
    </row>
    <row r="71" spans="1:5" x14ac:dyDescent="0.25">
      <c r="A71" t="s">
        <v>147</v>
      </c>
      <c r="B71" t="s">
        <v>148</v>
      </c>
      <c r="C71" s="1">
        <v>45651</v>
      </c>
      <c r="D71" t="s">
        <v>34</v>
      </c>
      <c r="E71" s="2">
        <v>159.66999999999999</v>
      </c>
    </row>
    <row r="72" spans="1:5" x14ac:dyDescent="0.25">
      <c r="A72" t="s">
        <v>149</v>
      </c>
      <c r="B72" t="s">
        <v>150</v>
      </c>
      <c r="C72" s="1">
        <v>45318</v>
      </c>
      <c r="D72" t="s">
        <v>7</v>
      </c>
      <c r="E72" s="2">
        <v>5284.93</v>
      </c>
    </row>
    <row r="73" spans="1:5" x14ac:dyDescent="0.25">
      <c r="A73" t="s">
        <v>151</v>
      </c>
      <c r="B73" t="s">
        <v>152</v>
      </c>
      <c r="C73" s="1">
        <v>45599</v>
      </c>
      <c r="D73" t="s">
        <v>63</v>
      </c>
      <c r="E73" s="2">
        <v>4935.9399999999996</v>
      </c>
    </row>
    <row r="74" spans="1:5" x14ac:dyDescent="0.25">
      <c r="A74" t="s">
        <v>153</v>
      </c>
      <c r="B74" t="s">
        <v>154</v>
      </c>
      <c r="C74" s="1">
        <v>45993</v>
      </c>
      <c r="D74" t="s">
        <v>27</v>
      </c>
      <c r="E74" s="2">
        <v>3903.42</v>
      </c>
    </row>
    <row r="75" spans="1:5" x14ac:dyDescent="0.25">
      <c r="A75" t="s">
        <v>155</v>
      </c>
      <c r="B75" t="s">
        <v>156</v>
      </c>
      <c r="C75" s="1">
        <v>45350</v>
      </c>
      <c r="D75" t="s">
        <v>7</v>
      </c>
      <c r="E75" s="2">
        <v>269.5</v>
      </c>
    </row>
    <row r="76" spans="1:5" x14ac:dyDescent="0.25">
      <c r="A76" t="s">
        <v>157</v>
      </c>
      <c r="B76" t="s">
        <v>158</v>
      </c>
      <c r="C76" s="1">
        <v>45698</v>
      </c>
      <c r="D76" t="s">
        <v>27</v>
      </c>
      <c r="E76" s="2">
        <v>7166.2</v>
      </c>
    </row>
    <row r="77" spans="1:5" x14ac:dyDescent="0.25">
      <c r="A77" t="s">
        <v>159</v>
      </c>
      <c r="B77" t="s">
        <v>40</v>
      </c>
      <c r="C77" s="1">
        <v>45952</v>
      </c>
      <c r="D77" t="s">
        <v>34</v>
      </c>
      <c r="E77" s="2">
        <v>1964.74</v>
      </c>
    </row>
    <row r="78" spans="1:5" x14ac:dyDescent="0.25">
      <c r="A78" t="s">
        <v>160</v>
      </c>
      <c r="B78" t="s">
        <v>78</v>
      </c>
      <c r="C78" s="1">
        <v>45633</v>
      </c>
      <c r="D78" t="s">
        <v>34</v>
      </c>
      <c r="E78" s="2">
        <v>6050.68</v>
      </c>
    </row>
    <row r="79" spans="1:5" x14ac:dyDescent="0.25">
      <c r="A79" t="s">
        <v>161</v>
      </c>
      <c r="B79" t="s">
        <v>162</v>
      </c>
      <c r="C79" s="1">
        <v>45911</v>
      </c>
      <c r="D79" t="s">
        <v>10</v>
      </c>
      <c r="E79" s="2">
        <v>4050.01</v>
      </c>
    </row>
    <row r="80" spans="1:5" x14ac:dyDescent="0.25">
      <c r="A80" t="s">
        <v>163</v>
      </c>
      <c r="B80" t="s">
        <v>164</v>
      </c>
      <c r="C80" s="1">
        <v>45810</v>
      </c>
      <c r="D80" t="s">
        <v>13</v>
      </c>
      <c r="E80" s="2">
        <v>7114.9</v>
      </c>
    </row>
    <row r="81" spans="1:5" x14ac:dyDescent="0.25">
      <c r="A81" t="s">
        <v>165</v>
      </c>
      <c r="B81" t="s">
        <v>166</v>
      </c>
      <c r="C81" s="1">
        <v>45605</v>
      </c>
      <c r="D81" t="s">
        <v>7</v>
      </c>
      <c r="E81" s="2">
        <v>8699.0300000000007</v>
      </c>
    </row>
    <row r="82" spans="1:5" x14ac:dyDescent="0.25">
      <c r="A82" t="s">
        <v>167</v>
      </c>
      <c r="B82" t="s">
        <v>168</v>
      </c>
      <c r="C82" s="1">
        <v>45717</v>
      </c>
      <c r="D82" t="s">
        <v>34</v>
      </c>
      <c r="E82" s="2">
        <v>1657.47</v>
      </c>
    </row>
    <row r="83" spans="1:5" x14ac:dyDescent="0.25">
      <c r="A83" t="s">
        <v>169</v>
      </c>
      <c r="B83" t="s">
        <v>170</v>
      </c>
      <c r="C83" s="1">
        <v>45770</v>
      </c>
      <c r="D83" t="s">
        <v>16</v>
      </c>
      <c r="E83" s="2">
        <v>9585.5300000000007</v>
      </c>
    </row>
    <row r="84" spans="1:5" x14ac:dyDescent="0.25">
      <c r="A84" t="s">
        <v>171</v>
      </c>
      <c r="B84" t="s">
        <v>172</v>
      </c>
      <c r="C84" s="1">
        <v>45921</v>
      </c>
      <c r="D84" t="s">
        <v>63</v>
      </c>
      <c r="E84" s="2">
        <v>5557.78</v>
      </c>
    </row>
    <row r="85" spans="1:5" x14ac:dyDescent="0.25">
      <c r="A85" t="s">
        <v>173</v>
      </c>
      <c r="B85" t="s">
        <v>174</v>
      </c>
      <c r="C85" s="1">
        <v>45513</v>
      </c>
      <c r="D85" t="s">
        <v>34</v>
      </c>
      <c r="E85" s="2">
        <v>2868.99</v>
      </c>
    </row>
    <row r="86" spans="1:5" x14ac:dyDescent="0.25">
      <c r="A86" t="s">
        <v>175</v>
      </c>
      <c r="B86" t="s">
        <v>176</v>
      </c>
      <c r="C86" s="1">
        <v>46021</v>
      </c>
      <c r="D86" t="s">
        <v>68</v>
      </c>
      <c r="E86" s="2">
        <v>5046.92</v>
      </c>
    </row>
    <row r="87" spans="1:5" x14ac:dyDescent="0.25">
      <c r="A87" t="s">
        <v>177</v>
      </c>
      <c r="B87" t="s">
        <v>178</v>
      </c>
      <c r="C87" s="1">
        <v>45594</v>
      </c>
      <c r="D87" t="s">
        <v>68</v>
      </c>
      <c r="E87" s="2">
        <v>3257.73</v>
      </c>
    </row>
    <row r="88" spans="1:5" x14ac:dyDescent="0.25">
      <c r="A88" t="s">
        <v>179</v>
      </c>
      <c r="B88" t="s">
        <v>172</v>
      </c>
      <c r="C88" s="1">
        <v>45605</v>
      </c>
      <c r="D88" t="s">
        <v>10</v>
      </c>
      <c r="E88" s="2">
        <v>882.57</v>
      </c>
    </row>
    <row r="89" spans="1:5" x14ac:dyDescent="0.25">
      <c r="A89" t="s">
        <v>180</v>
      </c>
      <c r="B89" t="s">
        <v>181</v>
      </c>
      <c r="C89" s="1">
        <v>45962</v>
      </c>
      <c r="D89" t="s">
        <v>10</v>
      </c>
      <c r="E89" s="2">
        <v>9099.92</v>
      </c>
    </row>
    <row r="90" spans="1:5" x14ac:dyDescent="0.25">
      <c r="A90" t="s">
        <v>182</v>
      </c>
      <c r="B90" t="s">
        <v>164</v>
      </c>
      <c r="C90" s="1">
        <v>45960</v>
      </c>
      <c r="D90" t="s">
        <v>63</v>
      </c>
      <c r="E90" s="2">
        <v>2978.95</v>
      </c>
    </row>
    <row r="91" spans="1:5" x14ac:dyDescent="0.25">
      <c r="A91" t="s">
        <v>183</v>
      </c>
      <c r="B91" t="s">
        <v>131</v>
      </c>
      <c r="C91" s="1">
        <v>45570</v>
      </c>
      <c r="D91" t="s">
        <v>27</v>
      </c>
      <c r="E91" s="2">
        <v>3913.47</v>
      </c>
    </row>
    <row r="92" spans="1:5" x14ac:dyDescent="0.25">
      <c r="A92" t="s">
        <v>184</v>
      </c>
      <c r="B92" t="s">
        <v>185</v>
      </c>
      <c r="C92" s="1">
        <v>45322</v>
      </c>
      <c r="D92" t="s">
        <v>34</v>
      </c>
      <c r="E92" s="2">
        <v>5082.63</v>
      </c>
    </row>
    <row r="93" spans="1:5" x14ac:dyDescent="0.25">
      <c r="A93" t="s">
        <v>186</v>
      </c>
      <c r="B93" t="s">
        <v>187</v>
      </c>
      <c r="C93" s="1">
        <v>45627</v>
      </c>
      <c r="D93" t="s">
        <v>7</v>
      </c>
      <c r="E93" s="2">
        <v>8663.9</v>
      </c>
    </row>
    <row r="94" spans="1:5" x14ac:dyDescent="0.25">
      <c r="A94" t="s">
        <v>188</v>
      </c>
      <c r="B94" t="s">
        <v>189</v>
      </c>
      <c r="C94" s="1">
        <v>45537</v>
      </c>
      <c r="D94" t="s">
        <v>34</v>
      </c>
      <c r="E94" s="2">
        <v>646.97</v>
      </c>
    </row>
    <row r="95" spans="1:5" x14ac:dyDescent="0.25">
      <c r="A95" t="s">
        <v>190</v>
      </c>
      <c r="B95" t="s">
        <v>191</v>
      </c>
      <c r="C95" s="1">
        <v>45449</v>
      </c>
      <c r="D95" t="s">
        <v>27</v>
      </c>
      <c r="E95" s="2">
        <v>1935.17</v>
      </c>
    </row>
    <row r="96" spans="1:5" x14ac:dyDescent="0.25">
      <c r="A96" t="s">
        <v>192</v>
      </c>
      <c r="B96" t="s">
        <v>193</v>
      </c>
      <c r="C96" s="1">
        <v>45715</v>
      </c>
      <c r="D96" t="s">
        <v>13</v>
      </c>
      <c r="E96" s="2">
        <v>3241.92</v>
      </c>
    </row>
    <row r="97" spans="1:5" x14ac:dyDescent="0.25">
      <c r="A97" t="s">
        <v>194</v>
      </c>
      <c r="B97" t="s">
        <v>114</v>
      </c>
      <c r="C97" s="1">
        <v>45647</v>
      </c>
      <c r="D97" t="s">
        <v>34</v>
      </c>
      <c r="E97" s="2">
        <v>2960.4</v>
      </c>
    </row>
    <row r="98" spans="1:5" x14ac:dyDescent="0.25">
      <c r="A98" t="s">
        <v>195</v>
      </c>
      <c r="B98" t="s">
        <v>196</v>
      </c>
      <c r="C98" s="1">
        <v>45519</v>
      </c>
      <c r="D98" t="s">
        <v>13</v>
      </c>
      <c r="E98" s="2">
        <v>9940.9699999999993</v>
      </c>
    </row>
    <row r="99" spans="1:5" x14ac:dyDescent="0.25">
      <c r="A99" t="s">
        <v>197</v>
      </c>
      <c r="B99" t="s">
        <v>198</v>
      </c>
      <c r="C99" s="1">
        <v>45773</v>
      </c>
      <c r="D99" t="s">
        <v>68</v>
      </c>
      <c r="E99" s="2">
        <v>2057.06</v>
      </c>
    </row>
    <row r="100" spans="1:5" x14ac:dyDescent="0.25">
      <c r="A100" t="s">
        <v>199</v>
      </c>
      <c r="B100" t="s">
        <v>38</v>
      </c>
      <c r="C100" s="1">
        <v>45727</v>
      </c>
      <c r="D100" t="s">
        <v>10</v>
      </c>
      <c r="E100" s="2">
        <v>2131.1</v>
      </c>
    </row>
    <row r="101" spans="1:5" x14ac:dyDescent="0.25">
      <c r="A101" t="s">
        <v>200</v>
      </c>
      <c r="B101" t="s">
        <v>201</v>
      </c>
      <c r="C101" s="1">
        <v>45915</v>
      </c>
      <c r="D101" t="s">
        <v>13</v>
      </c>
      <c r="E101" s="2">
        <v>5424.48</v>
      </c>
    </row>
    <row r="102" spans="1:5" x14ac:dyDescent="0.25">
      <c r="A102" t="s">
        <v>202</v>
      </c>
      <c r="B102" t="s">
        <v>203</v>
      </c>
      <c r="C102" s="1">
        <v>45734</v>
      </c>
      <c r="D102" t="s">
        <v>34</v>
      </c>
      <c r="E102" s="2">
        <v>8270.56</v>
      </c>
    </row>
    <row r="103" spans="1:5" x14ac:dyDescent="0.25">
      <c r="A103" t="s">
        <v>204</v>
      </c>
      <c r="B103" t="s">
        <v>205</v>
      </c>
      <c r="C103" s="1">
        <v>45508</v>
      </c>
      <c r="D103" t="s">
        <v>34</v>
      </c>
      <c r="E103" s="2">
        <v>2937.27</v>
      </c>
    </row>
    <row r="104" spans="1:5" x14ac:dyDescent="0.25">
      <c r="A104" t="s">
        <v>206</v>
      </c>
      <c r="B104" t="s">
        <v>207</v>
      </c>
      <c r="C104" s="1">
        <v>45498</v>
      </c>
      <c r="D104" t="s">
        <v>7</v>
      </c>
      <c r="E104" s="2">
        <v>8500.69</v>
      </c>
    </row>
    <row r="105" spans="1:5" x14ac:dyDescent="0.25">
      <c r="A105" t="s">
        <v>208</v>
      </c>
      <c r="B105" t="s">
        <v>209</v>
      </c>
      <c r="C105" s="1">
        <v>45945</v>
      </c>
      <c r="D105" t="s">
        <v>13</v>
      </c>
      <c r="E105" s="2">
        <v>5478.52</v>
      </c>
    </row>
    <row r="106" spans="1:5" x14ac:dyDescent="0.25">
      <c r="A106" t="s">
        <v>210</v>
      </c>
      <c r="B106" t="s">
        <v>170</v>
      </c>
      <c r="C106" s="1">
        <v>45708</v>
      </c>
      <c r="D106" t="s">
        <v>63</v>
      </c>
      <c r="E106" s="2">
        <v>9411.68</v>
      </c>
    </row>
    <row r="107" spans="1:5" x14ac:dyDescent="0.25">
      <c r="A107" t="s">
        <v>211</v>
      </c>
      <c r="B107" t="s">
        <v>31</v>
      </c>
      <c r="C107" s="1">
        <v>45942</v>
      </c>
      <c r="D107" t="s">
        <v>27</v>
      </c>
      <c r="E107" s="2">
        <v>7900.37</v>
      </c>
    </row>
    <row r="108" spans="1:5" x14ac:dyDescent="0.25">
      <c r="A108" t="s">
        <v>212</v>
      </c>
      <c r="B108" t="s">
        <v>129</v>
      </c>
      <c r="C108" s="1">
        <v>45443</v>
      </c>
      <c r="D108" t="s">
        <v>16</v>
      </c>
      <c r="E108" s="2">
        <v>7843.83</v>
      </c>
    </row>
    <row r="109" spans="1:5" x14ac:dyDescent="0.25">
      <c r="A109" t="s">
        <v>213</v>
      </c>
      <c r="B109" t="s">
        <v>214</v>
      </c>
      <c r="C109" s="1">
        <v>45809</v>
      </c>
      <c r="D109" t="s">
        <v>68</v>
      </c>
      <c r="E109" s="2">
        <v>3394.28</v>
      </c>
    </row>
    <row r="110" spans="1:5" x14ac:dyDescent="0.25">
      <c r="A110" t="s">
        <v>215</v>
      </c>
      <c r="B110" t="s">
        <v>216</v>
      </c>
      <c r="C110" s="1">
        <v>45920</v>
      </c>
      <c r="D110" t="s">
        <v>34</v>
      </c>
      <c r="E110" s="2">
        <v>3080.86</v>
      </c>
    </row>
    <row r="111" spans="1:5" x14ac:dyDescent="0.25">
      <c r="A111" t="s">
        <v>217</v>
      </c>
      <c r="B111" t="s">
        <v>218</v>
      </c>
      <c r="C111" s="1">
        <v>46020</v>
      </c>
      <c r="D111" t="s">
        <v>10</v>
      </c>
      <c r="E111" s="2">
        <v>8872.4699999999993</v>
      </c>
    </row>
    <row r="112" spans="1:5" x14ac:dyDescent="0.25">
      <c r="A112" t="s">
        <v>219</v>
      </c>
      <c r="B112" t="s">
        <v>127</v>
      </c>
      <c r="C112" s="1">
        <v>45362</v>
      </c>
      <c r="D112" t="s">
        <v>27</v>
      </c>
      <c r="E112" s="2">
        <v>1806.25</v>
      </c>
    </row>
    <row r="113" spans="1:5" x14ac:dyDescent="0.25">
      <c r="A113" t="s">
        <v>220</v>
      </c>
      <c r="B113" t="s">
        <v>185</v>
      </c>
      <c r="C113" s="1">
        <v>45601</v>
      </c>
      <c r="D113" t="s">
        <v>16</v>
      </c>
      <c r="E113" s="2">
        <v>2505.6999999999998</v>
      </c>
    </row>
    <row r="114" spans="1:5" x14ac:dyDescent="0.25">
      <c r="A114" t="s">
        <v>221</v>
      </c>
      <c r="B114" t="s">
        <v>100</v>
      </c>
      <c r="C114" s="1">
        <v>45420</v>
      </c>
      <c r="D114" t="s">
        <v>27</v>
      </c>
      <c r="E114" s="2">
        <v>1210.3800000000001</v>
      </c>
    </row>
    <row r="115" spans="1:5" x14ac:dyDescent="0.25">
      <c r="A115" t="s">
        <v>222</v>
      </c>
      <c r="B115" t="s">
        <v>85</v>
      </c>
      <c r="C115" s="1">
        <v>45417</v>
      </c>
      <c r="D115" t="s">
        <v>10</v>
      </c>
      <c r="E115" s="2">
        <v>2331.6999999999998</v>
      </c>
    </row>
    <row r="116" spans="1:5" x14ac:dyDescent="0.25">
      <c r="A116" t="s">
        <v>223</v>
      </c>
      <c r="B116" t="s">
        <v>224</v>
      </c>
      <c r="C116" s="1">
        <v>45372</v>
      </c>
      <c r="D116" t="s">
        <v>68</v>
      </c>
      <c r="E116" s="2">
        <v>2811.92</v>
      </c>
    </row>
    <row r="117" spans="1:5" x14ac:dyDescent="0.25">
      <c r="A117" t="s">
        <v>225</v>
      </c>
      <c r="B117" t="s">
        <v>226</v>
      </c>
      <c r="C117" s="1">
        <v>46016</v>
      </c>
      <c r="D117" t="s">
        <v>27</v>
      </c>
      <c r="E117" s="2">
        <v>7019.18</v>
      </c>
    </row>
    <row r="118" spans="1:5" x14ac:dyDescent="0.25">
      <c r="A118" t="s">
        <v>227</v>
      </c>
      <c r="B118" t="s">
        <v>29</v>
      </c>
      <c r="C118" s="1">
        <v>45683</v>
      </c>
      <c r="D118" t="s">
        <v>13</v>
      </c>
      <c r="E118" s="2">
        <v>8284.68</v>
      </c>
    </row>
    <row r="119" spans="1:5" x14ac:dyDescent="0.25">
      <c r="A119" t="s">
        <v>228</v>
      </c>
      <c r="B119" t="s">
        <v>70</v>
      </c>
      <c r="C119" s="1">
        <v>45703</v>
      </c>
      <c r="D119" t="s">
        <v>34</v>
      </c>
      <c r="E119" s="2">
        <v>4749.82</v>
      </c>
    </row>
    <row r="120" spans="1:5" x14ac:dyDescent="0.25">
      <c r="A120" t="s">
        <v>229</v>
      </c>
      <c r="B120" t="s">
        <v>6</v>
      </c>
      <c r="C120" s="1">
        <v>45358</v>
      </c>
      <c r="D120" t="s">
        <v>63</v>
      </c>
      <c r="E120" s="2">
        <v>3698.05</v>
      </c>
    </row>
    <row r="121" spans="1:5" x14ac:dyDescent="0.25">
      <c r="A121" t="s">
        <v>230</v>
      </c>
      <c r="B121" t="s">
        <v>231</v>
      </c>
      <c r="C121" s="1">
        <v>45354</v>
      </c>
      <c r="D121" t="s">
        <v>68</v>
      </c>
      <c r="E121" s="2">
        <v>1264.3499999999999</v>
      </c>
    </row>
    <row r="122" spans="1:5" x14ac:dyDescent="0.25">
      <c r="A122" t="s">
        <v>232</v>
      </c>
      <c r="B122" t="s">
        <v>233</v>
      </c>
      <c r="C122" s="1">
        <v>45387</v>
      </c>
      <c r="D122" t="s">
        <v>16</v>
      </c>
      <c r="E122" s="2">
        <v>6305.71</v>
      </c>
    </row>
    <row r="123" spans="1:5" x14ac:dyDescent="0.25">
      <c r="A123" t="s">
        <v>234</v>
      </c>
      <c r="B123" t="s">
        <v>235</v>
      </c>
      <c r="C123" s="1">
        <v>45651</v>
      </c>
      <c r="D123" t="s">
        <v>63</v>
      </c>
      <c r="E123" s="2">
        <v>9831.26</v>
      </c>
    </row>
    <row r="124" spans="1:5" x14ac:dyDescent="0.25">
      <c r="A124" t="s">
        <v>236</v>
      </c>
      <c r="B124" t="s">
        <v>198</v>
      </c>
      <c r="C124" s="1">
        <v>45294</v>
      </c>
      <c r="D124" t="s">
        <v>7</v>
      </c>
      <c r="E124" s="2">
        <v>3907.43</v>
      </c>
    </row>
    <row r="125" spans="1:5" x14ac:dyDescent="0.25">
      <c r="A125" t="s">
        <v>237</v>
      </c>
      <c r="B125" t="s">
        <v>238</v>
      </c>
      <c r="C125" s="1">
        <v>45294</v>
      </c>
      <c r="D125" t="s">
        <v>16</v>
      </c>
      <c r="E125" s="2">
        <v>4382.0600000000004</v>
      </c>
    </row>
    <row r="126" spans="1:5" x14ac:dyDescent="0.25">
      <c r="A126" t="s">
        <v>239</v>
      </c>
      <c r="B126" t="s">
        <v>240</v>
      </c>
      <c r="C126" s="1">
        <v>45811</v>
      </c>
      <c r="D126" t="s">
        <v>34</v>
      </c>
      <c r="E126" s="2">
        <v>9855.61</v>
      </c>
    </row>
    <row r="127" spans="1:5" x14ac:dyDescent="0.25">
      <c r="A127" t="s">
        <v>241</v>
      </c>
      <c r="B127" t="s">
        <v>242</v>
      </c>
      <c r="C127" s="1">
        <v>45360</v>
      </c>
      <c r="D127" t="s">
        <v>10</v>
      </c>
      <c r="E127" s="2">
        <v>8483.2999999999993</v>
      </c>
    </row>
    <row r="128" spans="1:5" x14ac:dyDescent="0.25">
      <c r="A128" t="s">
        <v>243</v>
      </c>
      <c r="B128" t="s">
        <v>244</v>
      </c>
      <c r="C128" s="1">
        <v>45767</v>
      </c>
      <c r="D128" t="s">
        <v>13</v>
      </c>
      <c r="E128" s="2">
        <v>6157.53</v>
      </c>
    </row>
    <row r="129" spans="1:5" x14ac:dyDescent="0.25">
      <c r="A129" t="s">
        <v>245</v>
      </c>
      <c r="B129" t="s">
        <v>244</v>
      </c>
      <c r="C129" s="1">
        <v>45828</v>
      </c>
      <c r="D129" t="s">
        <v>27</v>
      </c>
      <c r="E129" s="2">
        <v>9770.8700000000008</v>
      </c>
    </row>
    <row r="130" spans="1:5" x14ac:dyDescent="0.25">
      <c r="A130" t="s">
        <v>246</v>
      </c>
      <c r="B130" t="s">
        <v>76</v>
      </c>
      <c r="C130" s="1">
        <v>45725</v>
      </c>
      <c r="D130" t="s">
        <v>34</v>
      </c>
      <c r="E130" s="2">
        <v>7214.8</v>
      </c>
    </row>
    <row r="131" spans="1:5" x14ac:dyDescent="0.25">
      <c r="A131" t="s">
        <v>247</v>
      </c>
      <c r="B131" t="s">
        <v>248</v>
      </c>
      <c r="C131" s="1">
        <v>45939</v>
      </c>
      <c r="D131" t="s">
        <v>63</v>
      </c>
      <c r="E131" s="2">
        <v>2554.6799999999998</v>
      </c>
    </row>
    <row r="132" spans="1:5" x14ac:dyDescent="0.25">
      <c r="A132" t="s">
        <v>249</v>
      </c>
      <c r="B132" t="s">
        <v>127</v>
      </c>
      <c r="C132" s="1">
        <v>45896</v>
      </c>
      <c r="D132" t="s">
        <v>63</v>
      </c>
      <c r="E132" s="2">
        <v>1516.18</v>
      </c>
    </row>
    <row r="133" spans="1:5" x14ac:dyDescent="0.25">
      <c r="A133" t="s">
        <v>250</v>
      </c>
      <c r="B133" t="s">
        <v>251</v>
      </c>
      <c r="C133" s="1">
        <v>45801</v>
      </c>
      <c r="D133" t="s">
        <v>27</v>
      </c>
      <c r="E133" s="2">
        <v>3969.38</v>
      </c>
    </row>
    <row r="134" spans="1:5" x14ac:dyDescent="0.25">
      <c r="A134" t="s">
        <v>252</v>
      </c>
      <c r="B134" t="s">
        <v>253</v>
      </c>
      <c r="C134" s="1">
        <v>45936</v>
      </c>
      <c r="D134" t="s">
        <v>7</v>
      </c>
      <c r="E134" s="2">
        <v>518.29</v>
      </c>
    </row>
    <row r="135" spans="1:5" x14ac:dyDescent="0.25">
      <c r="A135" t="s">
        <v>254</v>
      </c>
      <c r="B135" t="s">
        <v>255</v>
      </c>
      <c r="C135" s="1">
        <v>45334</v>
      </c>
      <c r="D135" t="s">
        <v>63</v>
      </c>
      <c r="E135" s="2">
        <v>4340.68</v>
      </c>
    </row>
    <row r="136" spans="1:5" x14ac:dyDescent="0.25">
      <c r="A136" t="s">
        <v>256</v>
      </c>
      <c r="B136" t="s">
        <v>150</v>
      </c>
      <c r="C136" s="1">
        <v>45590</v>
      </c>
      <c r="D136" t="s">
        <v>63</v>
      </c>
      <c r="E136" s="2">
        <v>6451.15</v>
      </c>
    </row>
    <row r="137" spans="1:5" x14ac:dyDescent="0.25">
      <c r="A137" t="s">
        <v>257</v>
      </c>
      <c r="B137" t="s">
        <v>258</v>
      </c>
      <c r="C137" s="1">
        <v>45699</v>
      </c>
      <c r="D137" t="s">
        <v>27</v>
      </c>
      <c r="E137" s="2">
        <v>732.8</v>
      </c>
    </row>
    <row r="138" spans="1:5" x14ac:dyDescent="0.25">
      <c r="A138" t="s">
        <v>259</v>
      </c>
      <c r="B138" t="s">
        <v>260</v>
      </c>
      <c r="C138" s="1">
        <v>45998</v>
      </c>
      <c r="D138" t="s">
        <v>68</v>
      </c>
      <c r="E138" s="2">
        <v>1578.87</v>
      </c>
    </row>
    <row r="139" spans="1:5" x14ac:dyDescent="0.25">
      <c r="A139" t="s">
        <v>261</v>
      </c>
      <c r="B139" t="s">
        <v>262</v>
      </c>
      <c r="C139" s="1">
        <v>45696</v>
      </c>
      <c r="D139" t="s">
        <v>10</v>
      </c>
      <c r="E139" s="2">
        <v>8482.31</v>
      </c>
    </row>
    <row r="140" spans="1:5" x14ac:dyDescent="0.25">
      <c r="A140" t="s">
        <v>263</v>
      </c>
      <c r="B140" t="s">
        <v>238</v>
      </c>
      <c r="C140" s="1">
        <v>45693</v>
      </c>
      <c r="D140" t="s">
        <v>63</v>
      </c>
      <c r="E140" s="2">
        <v>6181.52</v>
      </c>
    </row>
    <row r="141" spans="1:5" x14ac:dyDescent="0.25">
      <c r="A141" t="s">
        <v>264</v>
      </c>
      <c r="B141" t="s">
        <v>15</v>
      </c>
      <c r="C141" s="1">
        <v>45833</v>
      </c>
      <c r="D141" t="s">
        <v>10</v>
      </c>
      <c r="E141" s="2">
        <v>96.79</v>
      </c>
    </row>
    <row r="142" spans="1:5" x14ac:dyDescent="0.25">
      <c r="A142" t="s">
        <v>265</v>
      </c>
      <c r="B142" t="s">
        <v>266</v>
      </c>
      <c r="C142" s="1">
        <v>45950</v>
      </c>
      <c r="D142" t="s">
        <v>7</v>
      </c>
      <c r="E142" s="2">
        <v>2712.82</v>
      </c>
    </row>
    <row r="143" spans="1:5" x14ac:dyDescent="0.25">
      <c r="A143" t="s">
        <v>267</v>
      </c>
      <c r="B143" t="s">
        <v>268</v>
      </c>
      <c r="C143" s="1">
        <v>45735</v>
      </c>
      <c r="D143" t="s">
        <v>10</v>
      </c>
      <c r="E143" s="2">
        <v>1295.9100000000001</v>
      </c>
    </row>
    <row r="144" spans="1:5" x14ac:dyDescent="0.25">
      <c r="A144" t="s">
        <v>269</v>
      </c>
      <c r="B144" t="s">
        <v>270</v>
      </c>
      <c r="C144" s="1">
        <v>45661</v>
      </c>
      <c r="D144" t="s">
        <v>68</v>
      </c>
      <c r="E144" s="2">
        <v>5196.96</v>
      </c>
    </row>
    <row r="145" spans="1:5" x14ac:dyDescent="0.25">
      <c r="A145" t="s">
        <v>271</v>
      </c>
      <c r="B145" t="s">
        <v>272</v>
      </c>
      <c r="C145" s="1">
        <v>45817</v>
      </c>
      <c r="D145" t="s">
        <v>27</v>
      </c>
      <c r="E145" s="2">
        <v>2574.54</v>
      </c>
    </row>
    <row r="146" spans="1:5" x14ac:dyDescent="0.25">
      <c r="A146" t="s">
        <v>273</v>
      </c>
      <c r="B146" t="s">
        <v>176</v>
      </c>
      <c r="C146" s="1">
        <v>45647</v>
      </c>
      <c r="D146" t="s">
        <v>7</v>
      </c>
      <c r="E146" s="2">
        <v>6937.68</v>
      </c>
    </row>
    <row r="147" spans="1:5" x14ac:dyDescent="0.25">
      <c r="A147" t="s">
        <v>274</v>
      </c>
      <c r="B147" t="s">
        <v>275</v>
      </c>
      <c r="C147" s="1">
        <v>45858</v>
      </c>
      <c r="D147" t="s">
        <v>27</v>
      </c>
      <c r="E147" s="2">
        <v>5812.64</v>
      </c>
    </row>
    <row r="148" spans="1:5" x14ac:dyDescent="0.25">
      <c r="A148" t="s">
        <v>276</v>
      </c>
      <c r="B148" t="s">
        <v>277</v>
      </c>
      <c r="C148" s="1">
        <v>45877</v>
      </c>
      <c r="D148" t="s">
        <v>68</v>
      </c>
      <c r="E148" s="2">
        <v>6958.82</v>
      </c>
    </row>
    <row r="149" spans="1:5" x14ac:dyDescent="0.25">
      <c r="A149" t="s">
        <v>278</v>
      </c>
      <c r="B149" t="s">
        <v>106</v>
      </c>
      <c r="C149" s="1">
        <v>45701</v>
      </c>
      <c r="D149" t="s">
        <v>63</v>
      </c>
      <c r="E149" s="2">
        <v>7953.52</v>
      </c>
    </row>
    <row r="150" spans="1:5" x14ac:dyDescent="0.25">
      <c r="A150" t="s">
        <v>279</v>
      </c>
      <c r="B150" t="s">
        <v>280</v>
      </c>
      <c r="C150" s="1">
        <v>45761</v>
      </c>
      <c r="D150" t="s">
        <v>34</v>
      </c>
      <c r="E150" s="2">
        <v>5580.02</v>
      </c>
    </row>
    <row r="151" spans="1:5" x14ac:dyDescent="0.25">
      <c r="A151" t="s">
        <v>281</v>
      </c>
      <c r="B151" t="s">
        <v>282</v>
      </c>
      <c r="C151" s="1">
        <v>45894</v>
      </c>
      <c r="D151" t="s">
        <v>10</v>
      </c>
      <c r="E151" s="2">
        <v>6275.71</v>
      </c>
    </row>
    <row r="152" spans="1:5" x14ac:dyDescent="0.25">
      <c r="A152" t="s">
        <v>283</v>
      </c>
      <c r="B152" t="s">
        <v>284</v>
      </c>
      <c r="C152" s="1">
        <v>45609</v>
      </c>
      <c r="D152" t="s">
        <v>68</v>
      </c>
      <c r="E152" s="2">
        <v>8213.85</v>
      </c>
    </row>
    <row r="153" spans="1:5" x14ac:dyDescent="0.25">
      <c r="A153" t="s">
        <v>285</v>
      </c>
      <c r="B153" t="s">
        <v>286</v>
      </c>
      <c r="C153" s="1">
        <v>45526</v>
      </c>
      <c r="D153" t="s">
        <v>34</v>
      </c>
      <c r="E153" s="2">
        <v>7062.59</v>
      </c>
    </row>
    <row r="154" spans="1:5" x14ac:dyDescent="0.25">
      <c r="A154" t="s">
        <v>287</v>
      </c>
      <c r="B154" t="s">
        <v>176</v>
      </c>
      <c r="C154" s="1">
        <v>45794</v>
      </c>
      <c r="D154" t="s">
        <v>13</v>
      </c>
      <c r="E154" s="2">
        <v>5193.01</v>
      </c>
    </row>
    <row r="155" spans="1:5" x14ac:dyDescent="0.25">
      <c r="A155" t="s">
        <v>288</v>
      </c>
      <c r="B155" t="s">
        <v>166</v>
      </c>
      <c r="C155" s="1">
        <v>45616</v>
      </c>
      <c r="D155" t="s">
        <v>16</v>
      </c>
      <c r="E155" s="2">
        <v>3941.9</v>
      </c>
    </row>
    <row r="156" spans="1:5" x14ac:dyDescent="0.25">
      <c r="A156" t="s">
        <v>289</v>
      </c>
      <c r="B156" t="s">
        <v>150</v>
      </c>
      <c r="C156" s="1">
        <v>45416</v>
      </c>
      <c r="D156" t="s">
        <v>16</v>
      </c>
      <c r="E156" s="2">
        <v>1405.59</v>
      </c>
    </row>
    <row r="157" spans="1:5" x14ac:dyDescent="0.25">
      <c r="A157" t="s">
        <v>290</v>
      </c>
      <c r="B157" t="s">
        <v>291</v>
      </c>
      <c r="C157" s="1">
        <v>45853</v>
      </c>
      <c r="D157" t="s">
        <v>16</v>
      </c>
      <c r="E157" s="2">
        <v>3673.68</v>
      </c>
    </row>
    <row r="158" spans="1:5" x14ac:dyDescent="0.25">
      <c r="A158" t="s">
        <v>292</v>
      </c>
      <c r="B158" t="s">
        <v>293</v>
      </c>
      <c r="C158" s="1">
        <v>45543</v>
      </c>
      <c r="D158" t="s">
        <v>16</v>
      </c>
      <c r="E158" s="2">
        <v>2099.42</v>
      </c>
    </row>
    <row r="159" spans="1:5" x14ac:dyDescent="0.25">
      <c r="A159" t="s">
        <v>294</v>
      </c>
      <c r="B159" t="s">
        <v>251</v>
      </c>
      <c r="C159" s="1">
        <v>45758</v>
      </c>
      <c r="D159" t="s">
        <v>27</v>
      </c>
      <c r="E159" s="2">
        <v>1822.53</v>
      </c>
    </row>
    <row r="160" spans="1:5" x14ac:dyDescent="0.25">
      <c r="A160" t="s">
        <v>295</v>
      </c>
      <c r="B160" t="s">
        <v>170</v>
      </c>
      <c r="C160" s="1">
        <v>45467</v>
      </c>
      <c r="D160" t="s">
        <v>13</v>
      </c>
      <c r="E160" s="2">
        <v>837.08</v>
      </c>
    </row>
    <row r="161" spans="1:5" x14ac:dyDescent="0.25">
      <c r="A161" t="s">
        <v>296</v>
      </c>
      <c r="B161" t="s">
        <v>181</v>
      </c>
      <c r="C161" s="1">
        <v>45972</v>
      </c>
      <c r="D161" t="s">
        <v>27</v>
      </c>
      <c r="E161" s="2">
        <v>5287.47</v>
      </c>
    </row>
    <row r="162" spans="1:5" x14ac:dyDescent="0.25">
      <c r="A162" t="s">
        <v>297</v>
      </c>
      <c r="B162" t="s">
        <v>108</v>
      </c>
      <c r="C162" s="1">
        <v>45748</v>
      </c>
      <c r="D162" t="s">
        <v>16</v>
      </c>
      <c r="E162" s="2">
        <v>5100.8900000000003</v>
      </c>
    </row>
    <row r="163" spans="1:5" x14ac:dyDescent="0.25">
      <c r="A163" t="s">
        <v>298</v>
      </c>
      <c r="B163" t="s">
        <v>299</v>
      </c>
      <c r="C163" s="1">
        <v>45384</v>
      </c>
      <c r="D163" t="s">
        <v>63</v>
      </c>
      <c r="E163" s="2">
        <v>4498.88</v>
      </c>
    </row>
    <row r="164" spans="1:5" x14ac:dyDescent="0.25">
      <c r="A164" t="s">
        <v>300</v>
      </c>
      <c r="B164" t="s">
        <v>164</v>
      </c>
      <c r="C164" s="1">
        <v>45581</v>
      </c>
      <c r="D164" t="s">
        <v>10</v>
      </c>
      <c r="E164" s="2">
        <v>6074.3</v>
      </c>
    </row>
    <row r="165" spans="1:5" x14ac:dyDescent="0.25">
      <c r="A165" t="s">
        <v>301</v>
      </c>
      <c r="B165" t="s">
        <v>127</v>
      </c>
      <c r="C165" s="1">
        <v>45589</v>
      </c>
      <c r="D165" t="s">
        <v>10</v>
      </c>
      <c r="E165" s="2">
        <v>3247.43</v>
      </c>
    </row>
    <row r="166" spans="1:5" x14ac:dyDescent="0.25">
      <c r="A166" t="s">
        <v>302</v>
      </c>
      <c r="B166" t="s">
        <v>303</v>
      </c>
      <c r="C166" s="1">
        <v>45860</v>
      </c>
      <c r="D166" t="s">
        <v>16</v>
      </c>
      <c r="E166" s="2">
        <v>9669.2999999999993</v>
      </c>
    </row>
    <row r="167" spans="1:5" x14ac:dyDescent="0.25">
      <c r="A167" t="s">
        <v>304</v>
      </c>
      <c r="B167" t="s">
        <v>189</v>
      </c>
      <c r="C167" s="1">
        <v>45479</v>
      </c>
      <c r="D167" t="s">
        <v>10</v>
      </c>
      <c r="E167" s="2">
        <v>3621.63</v>
      </c>
    </row>
    <row r="168" spans="1:5" x14ac:dyDescent="0.25">
      <c r="A168" t="s">
        <v>305</v>
      </c>
      <c r="B168" t="s">
        <v>306</v>
      </c>
      <c r="C168" s="1">
        <v>45580</v>
      </c>
      <c r="D168" t="s">
        <v>13</v>
      </c>
      <c r="E168" s="2">
        <v>4924.78</v>
      </c>
    </row>
    <row r="169" spans="1:5" x14ac:dyDescent="0.25">
      <c r="A169" t="s">
        <v>307</v>
      </c>
      <c r="B169" t="s">
        <v>203</v>
      </c>
      <c r="C169" s="1">
        <v>45360</v>
      </c>
      <c r="D169" t="s">
        <v>16</v>
      </c>
      <c r="E169" s="2">
        <v>1212.56</v>
      </c>
    </row>
    <row r="170" spans="1:5" x14ac:dyDescent="0.25">
      <c r="A170" t="s">
        <v>308</v>
      </c>
      <c r="B170" t="s">
        <v>309</v>
      </c>
      <c r="C170" s="1">
        <v>45650</v>
      </c>
      <c r="D170" t="s">
        <v>63</v>
      </c>
      <c r="E170" s="2">
        <v>2733.98</v>
      </c>
    </row>
    <row r="171" spans="1:5" x14ac:dyDescent="0.25">
      <c r="A171" t="s">
        <v>310</v>
      </c>
      <c r="B171" t="s">
        <v>244</v>
      </c>
      <c r="C171" s="1">
        <v>45909</v>
      </c>
      <c r="D171" t="s">
        <v>10</v>
      </c>
      <c r="E171" s="2">
        <v>1524.16</v>
      </c>
    </row>
    <row r="172" spans="1:5" x14ac:dyDescent="0.25">
      <c r="A172" t="s">
        <v>311</v>
      </c>
      <c r="B172" t="s">
        <v>26</v>
      </c>
      <c r="C172" s="1">
        <v>45585</v>
      </c>
      <c r="D172" t="s">
        <v>16</v>
      </c>
      <c r="E172" s="2">
        <v>5015.37</v>
      </c>
    </row>
    <row r="173" spans="1:5" x14ac:dyDescent="0.25">
      <c r="A173" t="s">
        <v>312</v>
      </c>
      <c r="B173" t="s">
        <v>313</v>
      </c>
      <c r="C173" s="1">
        <v>45974</v>
      </c>
      <c r="D173" t="s">
        <v>68</v>
      </c>
      <c r="E173" s="2">
        <v>9491.94</v>
      </c>
    </row>
    <row r="174" spans="1:5" x14ac:dyDescent="0.25">
      <c r="A174" t="s">
        <v>314</v>
      </c>
      <c r="B174" t="s">
        <v>12</v>
      </c>
      <c r="C174" s="1">
        <v>45943</v>
      </c>
      <c r="D174" t="s">
        <v>68</v>
      </c>
      <c r="E174" s="2">
        <v>1621.31</v>
      </c>
    </row>
    <row r="175" spans="1:5" x14ac:dyDescent="0.25">
      <c r="A175" t="s">
        <v>315</v>
      </c>
      <c r="B175" t="s">
        <v>36</v>
      </c>
      <c r="C175" s="1">
        <v>45518</v>
      </c>
      <c r="D175" t="s">
        <v>27</v>
      </c>
      <c r="E175" s="2">
        <v>4218.8</v>
      </c>
    </row>
    <row r="176" spans="1:5" x14ac:dyDescent="0.25">
      <c r="A176" t="s">
        <v>316</v>
      </c>
      <c r="B176" t="s">
        <v>112</v>
      </c>
      <c r="C176" s="1">
        <v>46021</v>
      </c>
      <c r="D176" t="s">
        <v>10</v>
      </c>
      <c r="E176" s="2">
        <v>4638.8599999999997</v>
      </c>
    </row>
    <row r="177" spans="1:5" x14ac:dyDescent="0.25">
      <c r="A177" t="s">
        <v>317</v>
      </c>
      <c r="B177" t="s">
        <v>277</v>
      </c>
      <c r="C177" s="1">
        <v>45966</v>
      </c>
      <c r="D177" t="s">
        <v>10</v>
      </c>
      <c r="E177" s="2">
        <v>5889.47</v>
      </c>
    </row>
    <row r="178" spans="1:5" x14ac:dyDescent="0.25">
      <c r="A178" t="s">
        <v>318</v>
      </c>
      <c r="B178" t="s">
        <v>319</v>
      </c>
      <c r="C178" s="1">
        <v>45548</v>
      </c>
      <c r="D178" t="s">
        <v>7</v>
      </c>
      <c r="E178" s="2">
        <v>4970.29</v>
      </c>
    </row>
    <row r="179" spans="1:5" x14ac:dyDescent="0.25">
      <c r="A179" t="s">
        <v>320</v>
      </c>
      <c r="B179" t="s">
        <v>321</v>
      </c>
      <c r="C179" s="1">
        <v>45703</v>
      </c>
      <c r="D179" t="s">
        <v>16</v>
      </c>
      <c r="E179" s="2">
        <v>1236.68</v>
      </c>
    </row>
    <row r="180" spans="1:5" x14ac:dyDescent="0.25">
      <c r="A180" t="s">
        <v>322</v>
      </c>
      <c r="B180" t="s">
        <v>50</v>
      </c>
      <c r="C180" s="1">
        <v>45920</v>
      </c>
      <c r="D180" t="s">
        <v>27</v>
      </c>
      <c r="E180" s="2">
        <v>968.25</v>
      </c>
    </row>
    <row r="181" spans="1:5" x14ac:dyDescent="0.25">
      <c r="A181" t="s">
        <v>323</v>
      </c>
      <c r="B181" t="s">
        <v>324</v>
      </c>
      <c r="C181" s="1">
        <v>45976</v>
      </c>
      <c r="D181" t="s">
        <v>7</v>
      </c>
      <c r="E181" s="2">
        <v>9525.86</v>
      </c>
    </row>
    <row r="182" spans="1:5" x14ac:dyDescent="0.25">
      <c r="A182" t="s">
        <v>325</v>
      </c>
      <c r="B182" t="s">
        <v>326</v>
      </c>
      <c r="C182" s="1">
        <v>45743</v>
      </c>
      <c r="D182" t="s">
        <v>13</v>
      </c>
      <c r="E182" s="2">
        <v>4755.1899999999996</v>
      </c>
    </row>
    <row r="183" spans="1:5" x14ac:dyDescent="0.25">
      <c r="A183" t="s">
        <v>327</v>
      </c>
      <c r="B183" t="s">
        <v>168</v>
      </c>
      <c r="C183" s="1">
        <v>45841</v>
      </c>
      <c r="D183" t="s">
        <v>10</v>
      </c>
      <c r="E183" s="2">
        <v>6127.08</v>
      </c>
    </row>
    <row r="184" spans="1:5" x14ac:dyDescent="0.25">
      <c r="A184" t="s">
        <v>328</v>
      </c>
      <c r="B184" t="s">
        <v>329</v>
      </c>
      <c r="C184" s="1">
        <v>45952</v>
      </c>
      <c r="D184" t="s">
        <v>34</v>
      </c>
      <c r="E184" s="2">
        <v>7748.95</v>
      </c>
    </row>
    <row r="185" spans="1:5" x14ac:dyDescent="0.25">
      <c r="A185" t="s">
        <v>330</v>
      </c>
      <c r="B185" t="s">
        <v>9</v>
      </c>
      <c r="C185" s="1">
        <v>45642</v>
      </c>
      <c r="D185" t="s">
        <v>63</v>
      </c>
      <c r="E185" s="2">
        <v>6850.09</v>
      </c>
    </row>
    <row r="186" spans="1:5" x14ac:dyDescent="0.25">
      <c r="A186" t="s">
        <v>331</v>
      </c>
      <c r="B186" t="s">
        <v>189</v>
      </c>
      <c r="C186" s="1">
        <v>45800</v>
      </c>
      <c r="D186" t="s">
        <v>27</v>
      </c>
      <c r="E186" s="2">
        <v>1481.37</v>
      </c>
    </row>
    <row r="187" spans="1:5" x14ac:dyDescent="0.25">
      <c r="A187" t="s">
        <v>332</v>
      </c>
      <c r="B187" t="s">
        <v>203</v>
      </c>
      <c r="C187" s="1">
        <v>45440</v>
      </c>
      <c r="D187" t="s">
        <v>16</v>
      </c>
      <c r="E187" s="2">
        <v>9942.4699999999993</v>
      </c>
    </row>
    <row r="188" spans="1:5" x14ac:dyDescent="0.25">
      <c r="A188" t="s">
        <v>333</v>
      </c>
      <c r="B188" t="s">
        <v>181</v>
      </c>
      <c r="C188" s="1">
        <v>45940</v>
      </c>
      <c r="D188" t="s">
        <v>68</v>
      </c>
      <c r="E188" s="2">
        <v>5310.27</v>
      </c>
    </row>
    <row r="189" spans="1:5" x14ac:dyDescent="0.25">
      <c r="A189" t="s">
        <v>334</v>
      </c>
      <c r="B189" t="s">
        <v>214</v>
      </c>
      <c r="C189" s="1">
        <v>45475</v>
      </c>
      <c r="D189" t="s">
        <v>68</v>
      </c>
      <c r="E189" s="2">
        <v>2276.7600000000002</v>
      </c>
    </row>
    <row r="190" spans="1:5" x14ac:dyDescent="0.25">
      <c r="A190" t="s">
        <v>335</v>
      </c>
      <c r="B190" t="s">
        <v>324</v>
      </c>
      <c r="C190" s="1">
        <v>45413</v>
      </c>
      <c r="D190" t="s">
        <v>63</v>
      </c>
      <c r="E190" s="2">
        <v>1476.89</v>
      </c>
    </row>
    <row r="191" spans="1:5" x14ac:dyDescent="0.25">
      <c r="A191" t="s">
        <v>336</v>
      </c>
      <c r="B191" t="s">
        <v>337</v>
      </c>
      <c r="C191" s="1">
        <v>45796</v>
      </c>
      <c r="D191" t="s">
        <v>68</v>
      </c>
      <c r="E191" s="2">
        <v>3068.03</v>
      </c>
    </row>
    <row r="192" spans="1:5" x14ac:dyDescent="0.25">
      <c r="A192" t="s">
        <v>338</v>
      </c>
      <c r="B192" t="s">
        <v>339</v>
      </c>
      <c r="C192" s="1">
        <v>45409</v>
      </c>
      <c r="D192" t="s">
        <v>63</v>
      </c>
      <c r="E192" s="2">
        <v>8160.6</v>
      </c>
    </row>
    <row r="193" spans="1:5" x14ac:dyDescent="0.25">
      <c r="A193" t="s">
        <v>340</v>
      </c>
      <c r="B193" t="s">
        <v>137</v>
      </c>
      <c r="C193" s="1">
        <v>45547</v>
      </c>
      <c r="D193" t="s">
        <v>7</v>
      </c>
      <c r="E193" s="2">
        <v>6623.12</v>
      </c>
    </row>
    <row r="194" spans="1:5" x14ac:dyDescent="0.25">
      <c r="A194" t="s">
        <v>341</v>
      </c>
      <c r="B194" t="s">
        <v>342</v>
      </c>
      <c r="C194" s="1">
        <v>45599</v>
      </c>
      <c r="D194" t="s">
        <v>13</v>
      </c>
      <c r="E194" s="2">
        <v>6639.78</v>
      </c>
    </row>
    <row r="195" spans="1:5" x14ac:dyDescent="0.25">
      <c r="A195" t="s">
        <v>343</v>
      </c>
      <c r="B195" t="s">
        <v>29</v>
      </c>
      <c r="C195" s="1">
        <v>45598</v>
      </c>
      <c r="D195" t="s">
        <v>27</v>
      </c>
      <c r="E195" s="2">
        <v>7645.48</v>
      </c>
    </row>
    <row r="196" spans="1:5" x14ac:dyDescent="0.25">
      <c r="A196" t="s">
        <v>344</v>
      </c>
      <c r="B196" t="s">
        <v>345</v>
      </c>
      <c r="C196" s="1">
        <v>45801</v>
      </c>
      <c r="D196" t="s">
        <v>34</v>
      </c>
      <c r="E196" s="2">
        <v>2216.96</v>
      </c>
    </row>
    <row r="197" spans="1:5" x14ac:dyDescent="0.25">
      <c r="A197" t="s">
        <v>346</v>
      </c>
      <c r="B197" t="s">
        <v>347</v>
      </c>
      <c r="C197" s="1">
        <v>45725</v>
      </c>
      <c r="D197" t="s">
        <v>63</v>
      </c>
      <c r="E197" s="2">
        <v>5280.13</v>
      </c>
    </row>
    <row r="198" spans="1:5" x14ac:dyDescent="0.25">
      <c r="A198" t="s">
        <v>348</v>
      </c>
      <c r="B198" t="s">
        <v>146</v>
      </c>
      <c r="C198" s="1">
        <v>45658</v>
      </c>
      <c r="D198" t="s">
        <v>27</v>
      </c>
      <c r="E198" s="2">
        <v>7914.96</v>
      </c>
    </row>
    <row r="199" spans="1:5" x14ac:dyDescent="0.25">
      <c r="A199" t="s">
        <v>349</v>
      </c>
      <c r="B199" t="s">
        <v>350</v>
      </c>
      <c r="C199" s="1">
        <v>45388</v>
      </c>
      <c r="D199" t="s">
        <v>10</v>
      </c>
      <c r="E199" s="2">
        <v>2103.1</v>
      </c>
    </row>
    <row r="200" spans="1:5" x14ac:dyDescent="0.25">
      <c r="A200" t="s">
        <v>351</v>
      </c>
      <c r="B200" t="s">
        <v>129</v>
      </c>
      <c r="C200" s="1">
        <v>45473</v>
      </c>
      <c r="D200" t="s">
        <v>27</v>
      </c>
      <c r="E200" s="2">
        <v>9281.73</v>
      </c>
    </row>
    <row r="201" spans="1:5" x14ac:dyDescent="0.25">
      <c r="A201" t="s">
        <v>352</v>
      </c>
      <c r="B201" t="s">
        <v>240</v>
      </c>
      <c r="C201" s="1">
        <v>45326</v>
      </c>
      <c r="D201" t="s">
        <v>7</v>
      </c>
      <c r="E201" s="2">
        <v>3539.28</v>
      </c>
    </row>
    <row r="202" spans="1:5" x14ac:dyDescent="0.25">
      <c r="A202" t="s">
        <v>353</v>
      </c>
      <c r="B202" t="s">
        <v>172</v>
      </c>
      <c r="C202" s="1">
        <v>45391</v>
      </c>
      <c r="D202" t="s">
        <v>34</v>
      </c>
      <c r="E202" s="2">
        <v>8077.95</v>
      </c>
    </row>
    <row r="203" spans="1:5" x14ac:dyDescent="0.25">
      <c r="A203" t="s">
        <v>354</v>
      </c>
      <c r="B203" t="s">
        <v>329</v>
      </c>
      <c r="C203" s="1">
        <v>45364</v>
      </c>
      <c r="D203" t="s">
        <v>7</v>
      </c>
      <c r="E203" s="2">
        <v>8166.21</v>
      </c>
    </row>
    <row r="204" spans="1:5" x14ac:dyDescent="0.25">
      <c r="A204" t="s">
        <v>355</v>
      </c>
      <c r="B204" t="s">
        <v>255</v>
      </c>
      <c r="C204" s="1">
        <v>45934</v>
      </c>
      <c r="D204" t="s">
        <v>27</v>
      </c>
      <c r="E204" s="2">
        <v>1567.1</v>
      </c>
    </row>
    <row r="205" spans="1:5" x14ac:dyDescent="0.25">
      <c r="A205" t="s">
        <v>356</v>
      </c>
      <c r="B205" t="s">
        <v>357</v>
      </c>
      <c r="C205" s="1">
        <v>45445</v>
      </c>
      <c r="D205" t="s">
        <v>10</v>
      </c>
      <c r="E205" s="2">
        <v>4025.27</v>
      </c>
    </row>
    <row r="206" spans="1:5" x14ac:dyDescent="0.25">
      <c r="A206" t="s">
        <v>358</v>
      </c>
      <c r="B206" t="s">
        <v>291</v>
      </c>
      <c r="C206" s="1">
        <v>45670</v>
      </c>
      <c r="D206" t="s">
        <v>13</v>
      </c>
      <c r="E206" s="2">
        <v>9648.8799999999992</v>
      </c>
    </row>
    <row r="207" spans="1:5" x14ac:dyDescent="0.25">
      <c r="A207" t="s">
        <v>359</v>
      </c>
      <c r="B207" t="s">
        <v>360</v>
      </c>
      <c r="C207" s="1">
        <v>45813</v>
      </c>
      <c r="D207" t="s">
        <v>27</v>
      </c>
      <c r="E207" s="2">
        <v>6674.67</v>
      </c>
    </row>
    <row r="208" spans="1:5" x14ac:dyDescent="0.25">
      <c r="A208" t="s">
        <v>361</v>
      </c>
      <c r="B208" t="s">
        <v>362</v>
      </c>
      <c r="C208" s="1">
        <v>45971</v>
      </c>
      <c r="D208" t="s">
        <v>10</v>
      </c>
      <c r="E208" s="2">
        <v>9265.44</v>
      </c>
    </row>
    <row r="209" spans="1:5" x14ac:dyDescent="0.25">
      <c r="A209" t="s">
        <v>363</v>
      </c>
      <c r="B209" t="s">
        <v>364</v>
      </c>
      <c r="C209" s="1">
        <v>45819</v>
      </c>
      <c r="D209" t="s">
        <v>27</v>
      </c>
      <c r="E209" s="2">
        <v>2058.4299999999998</v>
      </c>
    </row>
    <row r="210" spans="1:5" x14ac:dyDescent="0.25">
      <c r="A210" t="s">
        <v>365</v>
      </c>
      <c r="B210" t="s">
        <v>366</v>
      </c>
      <c r="C210" s="1">
        <v>45478</v>
      </c>
      <c r="D210" t="s">
        <v>7</v>
      </c>
      <c r="E210" s="2">
        <v>2630.04</v>
      </c>
    </row>
    <row r="211" spans="1:5" x14ac:dyDescent="0.25">
      <c r="A211" t="s">
        <v>367</v>
      </c>
      <c r="B211" t="s">
        <v>266</v>
      </c>
      <c r="C211" s="1">
        <v>45627</v>
      </c>
      <c r="D211" t="s">
        <v>7</v>
      </c>
      <c r="E211" s="2">
        <v>634.62</v>
      </c>
    </row>
    <row r="212" spans="1:5" x14ac:dyDescent="0.25">
      <c r="A212" t="s">
        <v>368</v>
      </c>
      <c r="B212" t="s">
        <v>152</v>
      </c>
      <c r="C212" s="1">
        <v>46000</v>
      </c>
      <c r="D212" t="s">
        <v>68</v>
      </c>
      <c r="E212" s="2">
        <v>1055.29</v>
      </c>
    </row>
    <row r="213" spans="1:5" x14ac:dyDescent="0.25">
      <c r="A213" t="s">
        <v>369</v>
      </c>
      <c r="B213" t="s">
        <v>120</v>
      </c>
      <c r="C213" s="1">
        <v>45359</v>
      </c>
      <c r="D213" t="s">
        <v>68</v>
      </c>
      <c r="E213" s="2">
        <v>958.48</v>
      </c>
    </row>
    <row r="214" spans="1:5" x14ac:dyDescent="0.25">
      <c r="A214" t="s">
        <v>370</v>
      </c>
      <c r="B214" t="s">
        <v>371</v>
      </c>
      <c r="C214" s="1">
        <v>45508</v>
      </c>
      <c r="D214" t="s">
        <v>13</v>
      </c>
      <c r="E214" s="2">
        <v>5638.24</v>
      </c>
    </row>
    <row r="215" spans="1:5" x14ac:dyDescent="0.25">
      <c r="A215" t="s">
        <v>372</v>
      </c>
      <c r="B215" t="s">
        <v>29</v>
      </c>
      <c r="C215" s="1">
        <v>45418</v>
      </c>
      <c r="D215" t="s">
        <v>13</v>
      </c>
      <c r="E215" s="2">
        <v>8209.27</v>
      </c>
    </row>
    <row r="216" spans="1:5" x14ac:dyDescent="0.25">
      <c r="A216" t="s">
        <v>373</v>
      </c>
      <c r="B216" t="s">
        <v>26</v>
      </c>
      <c r="C216" s="1">
        <v>45692</v>
      </c>
      <c r="D216" t="s">
        <v>13</v>
      </c>
      <c r="E216" s="2">
        <v>136.63</v>
      </c>
    </row>
    <row r="217" spans="1:5" x14ac:dyDescent="0.25">
      <c r="A217" t="s">
        <v>374</v>
      </c>
      <c r="B217" t="s">
        <v>375</v>
      </c>
      <c r="C217" s="1">
        <v>45405</v>
      </c>
      <c r="D217" t="s">
        <v>7</v>
      </c>
      <c r="E217" s="2">
        <v>376.94</v>
      </c>
    </row>
    <row r="218" spans="1:5" x14ac:dyDescent="0.25">
      <c r="A218" t="s">
        <v>376</v>
      </c>
      <c r="B218" t="s">
        <v>377</v>
      </c>
      <c r="C218" s="1">
        <v>45394</v>
      </c>
      <c r="D218" t="s">
        <v>63</v>
      </c>
      <c r="E218" s="2">
        <v>3278.27</v>
      </c>
    </row>
    <row r="219" spans="1:5" x14ac:dyDescent="0.25">
      <c r="A219" t="s">
        <v>378</v>
      </c>
      <c r="B219" t="s">
        <v>33</v>
      </c>
      <c r="C219" s="1">
        <v>45949</v>
      </c>
      <c r="D219" t="s">
        <v>34</v>
      </c>
      <c r="E219" s="2">
        <v>1195.6500000000001</v>
      </c>
    </row>
    <row r="220" spans="1:5" x14ac:dyDescent="0.25">
      <c r="A220" t="s">
        <v>379</v>
      </c>
      <c r="B220" t="s">
        <v>380</v>
      </c>
      <c r="C220" s="1">
        <v>45410</v>
      </c>
      <c r="D220" t="s">
        <v>10</v>
      </c>
      <c r="E220" s="2">
        <v>5831.23</v>
      </c>
    </row>
    <row r="221" spans="1:5" x14ac:dyDescent="0.25">
      <c r="A221" t="s">
        <v>381</v>
      </c>
      <c r="B221" t="s">
        <v>382</v>
      </c>
      <c r="C221" s="1">
        <v>45724</v>
      </c>
      <c r="D221" t="s">
        <v>68</v>
      </c>
      <c r="E221" s="2">
        <v>7105.51</v>
      </c>
    </row>
    <row r="222" spans="1:5" x14ac:dyDescent="0.25">
      <c r="A222" t="s">
        <v>383</v>
      </c>
      <c r="B222" t="s">
        <v>291</v>
      </c>
      <c r="C222" s="1">
        <v>45445</v>
      </c>
      <c r="D222" t="s">
        <v>34</v>
      </c>
      <c r="E222" s="2">
        <v>332.15</v>
      </c>
    </row>
    <row r="223" spans="1:5" x14ac:dyDescent="0.25">
      <c r="A223" t="s">
        <v>384</v>
      </c>
      <c r="B223" t="s">
        <v>385</v>
      </c>
      <c r="C223" s="1">
        <v>45473</v>
      </c>
      <c r="D223" t="s">
        <v>27</v>
      </c>
      <c r="E223" s="2">
        <v>4442.83</v>
      </c>
    </row>
    <row r="224" spans="1:5" x14ac:dyDescent="0.25">
      <c r="A224" t="s">
        <v>386</v>
      </c>
      <c r="B224" t="s">
        <v>387</v>
      </c>
      <c r="C224" s="1">
        <v>45890</v>
      </c>
      <c r="D224" t="s">
        <v>16</v>
      </c>
      <c r="E224" s="2">
        <v>8017.62</v>
      </c>
    </row>
    <row r="225" spans="1:5" x14ac:dyDescent="0.25">
      <c r="A225" t="s">
        <v>388</v>
      </c>
      <c r="B225" t="s">
        <v>36</v>
      </c>
      <c r="C225" s="1">
        <v>45864</v>
      </c>
      <c r="D225" t="s">
        <v>7</v>
      </c>
      <c r="E225" s="2">
        <v>7371.35</v>
      </c>
    </row>
    <row r="226" spans="1:5" x14ac:dyDescent="0.25">
      <c r="A226" t="s">
        <v>389</v>
      </c>
      <c r="B226" t="s">
        <v>9</v>
      </c>
      <c r="C226" s="1">
        <v>45481</v>
      </c>
      <c r="D226" t="s">
        <v>16</v>
      </c>
      <c r="E226" s="2">
        <v>4873.3</v>
      </c>
    </row>
    <row r="227" spans="1:5" x14ac:dyDescent="0.25">
      <c r="A227" t="s">
        <v>390</v>
      </c>
      <c r="B227" t="s">
        <v>58</v>
      </c>
      <c r="C227" s="1">
        <v>45992</v>
      </c>
      <c r="D227" t="s">
        <v>13</v>
      </c>
      <c r="E227" s="2">
        <v>875.3</v>
      </c>
    </row>
    <row r="228" spans="1:5" x14ac:dyDescent="0.25">
      <c r="A228" t="s">
        <v>391</v>
      </c>
      <c r="B228" t="s">
        <v>392</v>
      </c>
      <c r="C228" s="1">
        <v>45738</v>
      </c>
      <c r="D228" t="s">
        <v>13</v>
      </c>
      <c r="E228" s="2">
        <v>4771.01</v>
      </c>
    </row>
    <row r="229" spans="1:5" x14ac:dyDescent="0.25">
      <c r="A229" t="s">
        <v>393</v>
      </c>
      <c r="B229" t="s">
        <v>48</v>
      </c>
      <c r="C229" s="1">
        <v>45405</v>
      </c>
      <c r="D229" t="s">
        <v>27</v>
      </c>
      <c r="E229" s="2">
        <v>7940.63</v>
      </c>
    </row>
    <row r="230" spans="1:5" x14ac:dyDescent="0.25">
      <c r="A230" t="s">
        <v>394</v>
      </c>
      <c r="B230" t="s">
        <v>395</v>
      </c>
      <c r="C230" s="1">
        <v>45911</v>
      </c>
      <c r="D230" t="s">
        <v>7</v>
      </c>
      <c r="E230" s="2">
        <v>1693.79</v>
      </c>
    </row>
    <row r="231" spans="1:5" x14ac:dyDescent="0.25">
      <c r="A231" t="s">
        <v>396</v>
      </c>
      <c r="B231" t="s">
        <v>92</v>
      </c>
      <c r="C231" s="1">
        <v>46015</v>
      </c>
      <c r="D231" t="s">
        <v>7</v>
      </c>
      <c r="E231" s="2">
        <v>3531.41</v>
      </c>
    </row>
    <row r="232" spans="1:5" x14ac:dyDescent="0.25">
      <c r="A232" t="s">
        <v>397</v>
      </c>
      <c r="B232" t="s">
        <v>398</v>
      </c>
      <c r="C232" s="1">
        <v>45875</v>
      </c>
      <c r="D232" t="s">
        <v>27</v>
      </c>
      <c r="E232" s="2">
        <v>6910.68</v>
      </c>
    </row>
    <row r="233" spans="1:5" x14ac:dyDescent="0.25">
      <c r="A233" t="s">
        <v>399</v>
      </c>
      <c r="B233" t="s">
        <v>284</v>
      </c>
      <c r="C233" s="1">
        <v>45668</v>
      </c>
      <c r="D233" t="s">
        <v>27</v>
      </c>
      <c r="E233" s="2">
        <v>8041.35</v>
      </c>
    </row>
    <row r="234" spans="1:5" x14ac:dyDescent="0.25">
      <c r="A234" t="s">
        <v>400</v>
      </c>
      <c r="B234" t="s">
        <v>218</v>
      </c>
      <c r="C234" s="1">
        <v>45865</v>
      </c>
      <c r="D234" t="s">
        <v>7</v>
      </c>
      <c r="E234" s="2">
        <v>2729.62</v>
      </c>
    </row>
    <row r="235" spans="1:5" x14ac:dyDescent="0.25">
      <c r="A235" t="s">
        <v>401</v>
      </c>
      <c r="B235" t="s">
        <v>74</v>
      </c>
      <c r="C235" s="1">
        <v>45911</v>
      </c>
      <c r="D235" t="s">
        <v>34</v>
      </c>
      <c r="E235" s="2">
        <v>7258.34</v>
      </c>
    </row>
    <row r="236" spans="1:5" x14ac:dyDescent="0.25">
      <c r="A236" t="s">
        <v>402</v>
      </c>
      <c r="B236" t="s">
        <v>158</v>
      </c>
      <c r="C236" s="1">
        <v>45375</v>
      </c>
      <c r="D236" t="s">
        <v>27</v>
      </c>
      <c r="E236" s="2">
        <v>2536.09</v>
      </c>
    </row>
    <row r="237" spans="1:5" x14ac:dyDescent="0.25">
      <c r="A237" t="s">
        <v>403</v>
      </c>
      <c r="B237" t="s">
        <v>404</v>
      </c>
      <c r="C237" s="1">
        <v>45719</v>
      </c>
      <c r="D237" t="s">
        <v>13</v>
      </c>
      <c r="E237" s="2">
        <v>4703.8500000000004</v>
      </c>
    </row>
    <row r="238" spans="1:5" x14ac:dyDescent="0.25">
      <c r="A238" t="s">
        <v>405</v>
      </c>
      <c r="B238" t="s">
        <v>272</v>
      </c>
      <c r="C238" s="1">
        <v>45516</v>
      </c>
      <c r="D238" t="s">
        <v>34</v>
      </c>
      <c r="E238" s="2">
        <v>3444.69</v>
      </c>
    </row>
    <row r="239" spans="1:5" x14ac:dyDescent="0.25">
      <c r="A239" t="s">
        <v>406</v>
      </c>
      <c r="B239" t="s">
        <v>407</v>
      </c>
      <c r="C239" s="1">
        <v>45398</v>
      </c>
      <c r="D239" t="s">
        <v>27</v>
      </c>
      <c r="E239" s="2">
        <v>5302.63</v>
      </c>
    </row>
    <row r="240" spans="1:5" x14ac:dyDescent="0.25">
      <c r="A240" t="s">
        <v>408</v>
      </c>
      <c r="B240" t="s">
        <v>90</v>
      </c>
      <c r="C240" s="1">
        <v>45588</v>
      </c>
      <c r="D240" t="s">
        <v>7</v>
      </c>
      <c r="E240" s="2">
        <v>2197.2600000000002</v>
      </c>
    </row>
    <row r="241" spans="1:5" x14ac:dyDescent="0.25">
      <c r="A241" t="s">
        <v>409</v>
      </c>
      <c r="B241" t="s">
        <v>201</v>
      </c>
      <c r="C241" s="1">
        <v>45507</v>
      </c>
      <c r="D241" t="s">
        <v>13</v>
      </c>
      <c r="E241" s="2">
        <v>223.78</v>
      </c>
    </row>
    <row r="242" spans="1:5" x14ac:dyDescent="0.25">
      <c r="A242" t="s">
        <v>410</v>
      </c>
      <c r="B242" t="s">
        <v>375</v>
      </c>
      <c r="C242" s="1">
        <v>45554</v>
      </c>
      <c r="D242" t="s">
        <v>10</v>
      </c>
      <c r="E242" s="2">
        <v>9404.89</v>
      </c>
    </row>
    <row r="243" spans="1:5" x14ac:dyDescent="0.25">
      <c r="A243" t="s">
        <v>411</v>
      </c>
      <c r="B243" t="s">
        <v>324</v>
      </c>
      <c r="C243" s="1">
        <v>45696</v>
      </c>
      <c r="D243" t="s">
        <v>27</v>
      </c>
      <c r="E243" s="2">
        <v>8140.07</v>
      </c>
    </row>
    <row r="244" spans="1:5" x14ac:dyDescent="0.25">
      <c r="A244" t="s">
        <v>412</v>
      </c>
      <c r="B244" t="s">
        <v>144</v>
      </c>
      <c r="C244" s="1">
        <v>46008</v>
      </c>
      <c r="D244" t="s">
        <v>10</v>
      </c>
      <c r="E244" s="2">
        <v>9804.5499999999993</v>
      </c>
    </row>
    <row r="245" spans="1:5" x14ac:dyDescent="0.25">
      <c r="A245" t="s">
        <v>413</v>
      </c>
      <c r="B245" t="s">
        <v>377</v>
      </c>
      <c r="C245" s="1">
        <v>45788</v>
      </c>
      <c r="D245" t="s">
        <v>34</v>
      </c>
      <c r="E245" s="2">
        <v>4019.15</v>
      </c>
    </row>
    <row r="246" spans="1:5" x14ac:dyDescent="0.25">
      <c r="A246" t="s">
        <v>414</v>
      </c>
      <c r="B246" t="s">
        <v>375</v>
      </c>
      <c r="C246" s="1">
        <v>46005</v>
      </c>
      <c r="D246" t="s">
        <v>68</v>
      </c>
      <c r="E246" s="2">
        <v>8121.99</v>
      </c>
    </row>
    <row r="247" spans="1:5" x14ac:dyDescent="0.25">
      <c r="A247" t="s">
        <v>415</v>
      </c>
      <c r="B247" t="s">
        <v>416</v>
      </c>
      <c r="C247" s="1">
        <v>45933</v>
      </c>
      <c r="D247" t="s">
        <v>27</v>
      </c>
      <c r="E247" s="2">
        <v>8476.43</v>
      </c>
    </row>
    <row r="248" spans="1:5" x14ac:dyDescent="0.25">
      <c r="A248" t="s">
        <v>417</v>
      </c>
      <c r="B248" t="s">
        <v>40</v>
      </c>
      <c r="C248" s="1">
        <v>45794</v>
      </c>
      <c r="D248" t="s">
        <v>13</v>
      </c>
      <c r="E248" s="2">
        <v>9103.92</v>
      </c>
    </row>
    <row r="249" spans="1:5" x14ac:dyDescent="0.25">
      <c r="A249" t="s">
        <v>418</v>
      </c>
      <c r="B249" t="s">
        <v>231</v>
      </c>
      <c r="C249" s="1">
        <v>45468</v>
      </c>
      <c r="D249" t="s">
        <v>34</v>
      </c>
      <c r="E249" s="2">
        <v>5624.53</v>
      </c>
    </row>
    <row r="250" spans="1:5" x14ac:dyDescent="0.25">
      <c r="A250" t="s">
        <v>419</v>
      </c>
      <c r="B250" t="s">
        <v>275</v>
      </c>
      <c r="C250" s="1">
        <v>45749</v>
      </c>
      <c r="D250" t="s">
        <v>68</v>
      </c>
      <c r="E250" s="2">
        <v>9764.67</v>
      </c>
    </row>
    <row r="251" spans="1:5" x14ac:dyDescent="0.25">
      <c r="A251" t="s">
        <v>420</v>
      </c>
      <c r="B251" t="s">
        <v>124</v>
      </c>
      <c r="C251" s="1">
        <v>45707</v>
      </c>
      <c r="D251" t="s">
        <v>27</v>
      </c>
      <c r="E251" s="2">
        <v>1718.43</v>
      </c>
    </row>
    <row r="252" spans="1:5" x14ac:dyDescent="0.25">
      <c r="A252" t="s">
        <v>421</v>
      </c>
      <c r="B252" t="s">
        <v>244</v>
      </c>
      <c r="C252" s="1">
        <v>46008</v>
      </c>
      <c r="D252" t="s">
        <v>7</v>
      </c>
      <c r="E252" s="2">
        <v>1535.82</v>
      </c>
    </row>
    <row r="253" spans="1:5" x14ac:dyDescent="0.25">
      <c r="A253" t="s">
        <v>422</v>
      </c>
      <c r="B253" t="s">
        <v>74</v>
      </c>
      <c r="C253" s="1">
        <v>45862</v>
      </c>
      <c r="D253" t="s">
        <v>13</v>
      </c>
      <c r="E253" s="2">
        <v>808.16</v>
      </c>
    </row>
    <row r="254" spans="1:5" x14ac:dyDescent="0.25">
      <c r="A254" t="s">
        <v>423</v>
      </c>
      <c r="B254" t="s">
        <v>124</v>
      </c>
      <c r="C254" s="1">
        <v>45748</v>
      </c>
      <c r="D254" t="s">
        <v>7</v>
      </c>
      <c r="E254" s="2">
        <v>8584.6299999999992</v>
      </c>
    </row>
    <row r="255" spans="1:5" x14ac:dyDescent="0.25">
      <c r="A255" t="s">
        <v>424</v>
      </c>
      <c r="B255" t="s">
        <v>425</v>
      </c>
      <c r="C255" s="1">
        <v>45679</v>
      </c>
      <c r="D255" t="s">
        <v>34</v>
      </c>
      <c r="E255" s="2">
        <v>1315.75</v>
      </c>
    </row>
    <row r="256" spans="1:5" x14ac:dyDescent="0.25">
      <c r="A256" t="s">
        <v>426</v>
      </c>
      <c r="B256" t="s">
        <v>110</v>
      </c>
      <c r="C256" s="1">
        <v>45798</v>
      </c>
      <c r="D256" t="s">
        <v>63</v>
      </c>
      <c r="E256" s="2">
        <v>7684.68</v>
      </c>
    </row>
    <row r="257" spans="1:5" x14ac:dyDescent="0.25">
      <c r="A257" t="s">
        <v>427</v>
      </c>
      <c r="B257" t="s">
        <v>404</v>
      </c>
      <c r="C257" s="1">
        <v>45767</v>
      </c>
      <c r="D257" t="s">
        <v>7</v>
      </c>
      <c r="E257" s="2">
        <v>4379.75</v>
      </c>
    </row>
    <row r="258" spans="1:5" x14ac:dyDescent="0.25">
      <c r="A258" t="s">
        <v>428</v>
      </c>
      <c r="B258" t="s">
        <v>270</v>
      </c>
      <c r="C258" s="1">
        <v>45677</v>
      </c>
      <c r="D258" t="s">
        <v>63</v>
      </c>
      <c r="E258" s="2">
        <v>8925.82</v>
      </c>
    </row>
    <row r="259" spans="1:5" x14ac:dyDescent="0.25">
      <c r="A259" t="s">
        <v>429</v>
      </c>
      <c r="B259" t="s">
        <v>430</v>
      </c>
      <c r="C259" s="1">
        <v>45753</v>
      </c>
      <c r="D259" t="s">
        <v>34</v>
      </c>
      <c r="E259" s="2">
        <v>380.37</v>
      </c>
    </row>
    <row r="260" spans="1:5" x14ac:dyDescent="0.25">
      <c r="A260" t="s">
        <v>431</v>
      </c>
      <c r="B260" t="s">
        <v>432</v>
      </c>
      <c r="C260" s="1">
        <v>45604</v>
      </c>
      <c r="D260" t="s">
        <v>34</v>
      </c>
      <c r="E260" s="2">
        <v>3715.35</v>
      </c>
    </row>
    <row r="261" spans="1:5" x14ac:dyDescent="0.25">
      <c r="A261" t="s">
        <v>433</v>
      </c>
      <c r="B261" t="s">
        <v>434</v>
      </c>
      <c r="C261" s="1">
        <v>45730</v>
      </c>
      <c r="D261" t="s">
        <v>10</v>
      </c>
      <c r="E261" s="2">
        <v>2229.11</v>
      </c>
    </row>
    <row r="262" spans="1:5" x14ac:dyDescent="0.25">
      <c r="A262" t="s">
        <v>435</v>
      </c>
      <c r="B262" t="s">
        <v>98</v>
      </c>
      <c r="C262" s="1">
        <v>45458</v>
      </c>
      <c r="D262" t="s">
        <v>63</v>
      </c>
      <c r="E262" s="2">
        <v>1100.22</v>
      </c>
    </row>
    <row r="263" spans="1:5" x14ac:dyDescent="0.25">
      <c r="A263" t="s">
        <v>436</v>
      </c>
      <c r="B263" t="s">
        <v>437</v>
      </c>
      <c r="C263" s="1">
        <v>45528</v>
      </c>
      <c r="D263" t="s">
        <v>68</v>
      </c>
      <c r="E263" s="2">
        <v>3278.9</v>
      </c>
    </row>
    <row r="264" spans="1:5" x14ac:dyDescent="0.25">
      <c r="A264" t="s">
        <v>438</v>
      </c>
      <c r="B264" t="s">
        <v>216</v>
      </c>
      <c r="C264" s="1">
        <v>45476</v>
      </c>
      <c r="D264" t="s">
        <v>10</v>
      </c>
      <c r="E264" s="2">
        <v>4986.99</v>
      </c>
    </row>
    <row r="265" spans="1:5" x14ac:dyDescent="0.25">
      <c r="A265" t="s">
        <v>439</v>
      </c>
      <c r="B265" t="s">
        <v>168</v>
      </c>
      <c r="C265" s="1">
        <v>45433</v>
      </c>
      <c r="D265" t="s">
        <v>16</v>
      </c>
      <c r="E265" s="2">
        <v>4037.16</v>
      </c>
    </row>
    <row r="266" spans="1:5" x14ac:dyDescent="0.25">
      <c r="A266" t="s">
        <v>440</v>
      </c>
      <c r="B266" t="s">
        <v>116</v>
      </c>
      <c r="C266" s="1">
        <v>45614</v>
      </c>
      <c r="D266" t="s">
        <v>13</v>
      </c>
      <c r="E266" s="2">
        <v>8242.8799999999992</v>
      </c>
    </row>
    <row r="267" spans="1:5" x14ac:dyDescent="0.25">
      <c r="A267" t="s">
        <v>441</v>
      </c>
      <c r="B267" t="s">
        <v>52</v>
      </c>
      <c r="C267" s="1">
        <v>45626</v>
      </c>
      <c r="D267" t="s">
        <v>16</v>
      </c>
      <c r="E267" s="2">
        <v>5767.08</v>
      </c>
    </row>
    <row r="268" spans="1:5" x14ac:dyDescent="0.25">
      <c r="A268" t="s">
        <v>442</v>
      </c>
      <c r="B268" t="s">
        <v>443</v>
      </c>
      <c r="C268" s="1">
        <v>45754</v>
      </c>
      <c r="D268" t="s">
        <v>16</v>
      </c>
      <c r="E268" s="2">
        <v>3600.62</v>
      </c>
    </row>
    <row r="269" spans="1:5" x14ac:dyDescent="0.25">
      <c r="A269" t="s">
        <v>444</v>
      </c>
      <c r="B269" t="s">
        <v>62</v>
      </c>
      <c r="C269" s="1">
        <v>45392</v>
      </c>
      <c r="D269" t="s">
        <v>10</v>
      </c>
      <c r="E269" s="2">
        <v>7459.08</v>
      </c>
    </row>
    <row r="270" spans="1:5" x14ac:dyDescent="0.25">
      <c r="A270" t="s">
        <v>445</v>
      </c>
      <c r="B270" t="s">
        <v>446</v>
      </c>
      <c r="C270" s="1">
        <v>45981</v>
      </c>
      <c r="D270" t="s">
        <v>10</v>
      </c>
      <c r="E270" s="2">
        <v>2781.4</v>
      </c>
    </row>
    <row r="271" spans="1:5" x14ac:dyDescent="0.25">
      <c r="A271" t="s">
        <v>447</v>
      </c>
      <c r="B271" t="s">
        <v>201</v>
      </c>
      <c r="C271" s="1">
        <v>45303</v>
      </c>
      <c r="D271" t="s">
        <v>10</v>
      </c>
      <c r="E271" s="2">
        <v>5564.96</v>
      </c>
    </row>
    <row r="272" spans="1:5" x14ac:dyDescent="0.25">
      <c r="A272" t="s">
        <v>448</v>
      </c>
      <c r="B272" t="s">
        <v>172</v>
      </c>
      <c r="C272" s="1">
        <v>45821</v>
      </c>
      <c r="D272" t="s">
        <v>63</v>
      </c>
      <c r="E272" s="2">
        <v>862.11</v>
      </c>
    </row>
    <row r="273" spans="1:5" x14ac:dyDescent="0.25">
      <c r="A273" t="s">
        <v>449</v>
      </c>
      <c r="B273" t="s">
        <v>375</v>
      </c>
      <c r="C273" s="1">
        <v>45875</v>
      </c>
      <c r="D273" t="s">
        <v>16</v>
      </c>
      <c r="E273" s="2">
        <v>3764.86</v>
      </c>
    </row>
    <row r="274" spans="1:5" x14ac:dyDescent="0.25">
      <c r="A274" t="s">
        <v>450</v>
      </c>
      <c r="B274" t="s">
        <v>133</v>
      </c>
      <c r="C274" s="1">
        <v>45999</v>
      </c>
      <c r="D274" t="s">
        <v>34</v>
      </c>
      <c r="E274" s="2">
        <v>680.46</v>
      </c>
    </row>
    <row r="275" spans="1:5" x14ac:dyDescent="0.25">
      <c r="A275" t="s">
        <v>451</v>
      </c>
      <c r="B275" t="s">
        <v>398</v>
      </c>
      <c r="C275" s="1">
        <v>45967</v>
      </c>
      <c r="D275" t="s">
        <v>16</v>
      </c>
      <c r="E275" s="2">
        <v>5006.63</v>
      </c>
    </row>
    <row r="276" spans="1:5" x14ac:dyDescent="0.25">
      <c r="A276" t="s">
        <v>452</v>
      </c>
      <c r="B276" t="s">
        <v>345</v>
      </c>
      <c r="C276" s="1">
        <v>45677</v>
      </c>
      <c r="D276" t="s">
        <v>34</v>
      </c>
      <c r="E276" s="2">
        <v>5901.94</v>
      </c>
    </row>
    <row r="277" spans="1:5" x14ac:dyDescent="0.25">
      <c r="A277" t="s">
        <v>453</v>
      </c>
      <c r="B277" t="s">
        <v>357</v>
      </c>
      <c r="C277" s="1">
        <v>45387</v>
      </c>
      <c r="D277" t="s">
        <v>13</v>
      </c>
      <c r="E277" s="2">
        <v>7874.19</v>
      </c>
    </row>
    <row r="278" spans="1:5" x14ac:dyDescent="0.25">
      <c r="A278" t="s">
        <v>454</v>
      </c>
      <c r="B278" t="s">
        <v>455</v>
      </c>
      <c r="C278" s="1">
        <v>45724</v>
      </c>
      <c r="D278" t="s">
        <v>63</v>
      </c>
      <c r="E278" s="2">
        <v>435.37</v>
      </c>
    </row>
    <row r="279" spans="1:5" x14ac:dyDescent="0.25">
      <c r="A279" t="s">
        <v>456</v>
      </c>
      <c r="B279" t="s">
        <v>425</v>
      </c>
      <c r="C279" s="1">
        <v>45735</v>
      </c>
      <c r="D279" t="s">
        <v>68</v>
      </c>
      <c r="E279" s="2">
        <v>8604.4</v>
      </c>
    </row>
    <row r="280" spans="1:5" x14ac:dyDescent="0.25">
      <c r="A280" t="s">
        <v>457</v>
      </c>
      <c r="B280" t="s">
        <v>458</v>
      </c>
      <c r="C280" s="1">
        <v>45899</v>
      </c>
      <c r="D280" t="s">
        <v>10</v>
      </c>
      <c r="E280" s="2">
        <v>7167.99</v>
      </c>
    </row>
    <row r="281" spans="1:5" x14ac:dyDescent="0.25">
      <c r="A281" t="s">
        <v>459</v>
      </c>
      <c r="B281" t="s">
        <v>272</v>
      </c>
      <c r="C281" s="1">
        <v>45686</v>
      </c>
      <c r="D281" t="s">
        <v>68</v>
      </c>
      <c r="E281" s="2">
        <v>6087.45</v>
      </c>
    </row>
    <row r="282" spans="1:5" x14ac:dyDescent="0.25">
      <c r="A282" t="s">
        <v>460</v>
      </c>
      <c r="B282" t="s">
        <v>181</v>
      </c>
      <c r="C282" s="1">
        <v>46016</v>
      </c>
      <c r="D282" t="s">
        <v>68</v>
      </c>
      <c r="E282" s="2">
        <v>6692.07</v>
      </c>
    </row>
    <row r="283" spans="1:5" x14ac:dyDescent="0.25">
      <c r="A283" t="s">
        <v>461</v>
      </c>
      <c r="B283" t="s">
        <v>462</v>
      </c>
      <c r="C283" s="1">
        <v>45688</v>
      </c>
      <c r="D283" t="s">
        <v>10</v>
      </c>
      <c r="E283" s="2">
        <v>6444.73</v>
      </c>
    </row>
    <row r="284" spans="1:5" x14ac:dyDescent="0.25">
      <c r="A284" t="s">
        <v>463</v>
      </c>
      <c r="B284" t="s">
        <v>464</v>
      </c>
      <c r="C284" s="1">
        <v>45535</v>
      </c>
      <c r="D284" t="s">
        <v>34</v>
      </c>
      <c r="E284" s="2">
        <v>846.32</v>
      </c>
    </row>
    <row r="285" spans="1:5" x14ac:dyDescent="0.25">
      <c r="A285" t="s">
        <v>465</v>
      </c>
      <c r="B285" t="s">
        <v>56</v>
      </c>
      <c r="C285" s="1">
        <v>45393</v>
      </c>
      <c r="D285" t="s">
        <v>63</v>
      </c>
      <c r="E285" s="2">
        <v>8241.31</v>
      </c>
    </row>
    <row r="286" spans="1:5" x14ac:dyDescent="0.25">
      <c r="A286" t="s">
        <v>466</v>
      </c>
      <c r="B286" t="s">
        <v>467</v>
      </c>
      <c r="C286" s="1">
        <v>45731</v>
      </c>
      <c r="D286" t="s">
        <v>16</v>
      </c>
      <c r="E286" s="2">
        <v>8792.56</v>
      </c>
    </row>
    <row r="287" spans="1:5" x14ac:dyDescent="0.25">
      <c r="A287" t="s">
        <v>468</v>
      </c>
      <c r="B287" t="s">
        <v>469</v>
      </c>
      <c r="C287" s="1">
        <v>45916</v>
      </c>
      <c r="D287" t="s">
        <v>34</v>
      </c>
      <c r="E287" s="2">
        <v>9141.35</v>
      </c>
    </row>
    <row r="288" spans="1:5" x14ac:dyDescent="0.25">
      <c r="A288" t="s">
        <v>470</v>
      </c>
      <c r="B288" t="s">
        <v>385</v>
      </c>
      <c r="C288" s="1">
        <v>45513</v>
      </c>
      <c r="D288" t="s">
        <v>27</v>
      </c>
      <c r="E288" s="2">
        <v>8332.1200000000008</v>
      </c>
    </row>
    <row r="289" spans="1:5" x14ac:dyDescent="0.25">
      <c r="A289" t="s">
        <v>471</v>
      </c>
      <c r="B289" t="s">
        <v>472</v>
      </c>
      <c r="C289" s="1">
        <v>45657</v>
      </c>
      <c r="D289" t="s">
        <v>68</v>
      </c>
      <c r="E289" s="2">
        <v>3313.73</v>
      </c>
    </row>
    <row r="290" spans="1:5" x14ac:dyDescent="0.25">
      <c r="A290" t="s">
        <v>473</v>
      </c>
      <c r="B290" t="s">
        <v>12</v>
      </c>
      <c r="C290" s="1">
        <v>45814</v>
      </c>
      <c r="D290" t="s">
        <v>7</v>
      </c>
      <c r="E290" s="2">
        <v>8759.39</v>
      </c>
    </row>
    <row r="291" spans="1:5" x14ac:dyDescent="0.25">
      <c r="A291" t="s">
        <v>474</v>
      </c>
      <c r="B291" t="s">
        <v>216</v>
      </c>
      <c r="C291" s="1">
        <v>45668</v>
      </c>
      <c r="D291" t="s">
        <v>27</v>
      </c>
      <c r="E291" s="2">
        <v>3269.2</v>
      </c>
    </row>
    <row r="292" spans="1:5" x14ac:dyDescent="0.25">
      <c r="A292" t="s">
        <v>475</v>
      </c>
      <c r="B292" t="s">
        <v>187</v>
      </c>
      <c r="C292" s="1">
        <v>45902</v>
      </c>
      <c r="D292" t="s">
        <v>16</v>
      </c>
      <c r="E292" s="2">
        <v>97.39</v>
      </c>
    </row>
    <row r="293" spans="1:5" x14ac:dyDescent="0.25">
      <c r="A293" t="s">
        <v>476</v>
      </c>
      <c r="B293" t="s">
        <v>36</v>
      </c>
      <c r="C293" s="1">
        <v>45418</v>
      </c>
      <c r="D293" t="s">
        <v>10</v>
      </c>
      <c r="E293" s="2">
        <v>7378.07</v>
      </c>
    </row>
    <row r="294" spans="1:5" x14ac:dyDescent="0.25">
      <c r="A294" t="s">
        <v>477</v>
      </c>
      <c r="B294" t="s">
        <v>478</v>
      </c>
      <c r="C294" s="1">
        <v>45772</v>
      </c>
      <c r="D294" t="s">
        <v>13</v>
      </c>
      <c r="E294" s="2">
        <v>4739.2299999999996</v>
      </c>
    </row>
    <row r="295" spans="1:5" x14ac:dyDescent="0.25">
      <c r="A295" t="s">
        <v>479</v>
      </c>
      <c r="B295" t="s">
        <v>96</v>
      </c>
      <c r="C295" s="1">
        <v>45552</v>
      </c>
      <c r="D295" t="s">
        <v>13</v>
      </c>
      <c r="E295" s="2">
        <v>7490.8</v>
      </c>
    </row>
    <row r="296" spans="1:5" x14ac:dyDescent="0.25">
      <c r="A296" t="s">
        <v>480</v>
      </c>
      <c r="B296" t="s">
        <v>455</v>
      </c>
      <c r="C296" s="1">
        <v>45544</v>
      </c>
      <c r="D296" t="s">
        <v>63</v>
      </c>
      <c r="E296" s="2">
        <v>4229.88</v>
      </c>
    </row>
    <row r="297" spans="1:5" x14ac:dyDescent="0.25">
      <c r="A297" t="s">
        <v>481</v>
      </c>
      <c r="B297" t="s">
        <v>268</v>
      </c>
      <c r="C297" s="1">
        <v>45818</v>
      </c>
      <c r="D297" t="s">
        <v>34</v>
      </c>
      <c r="E297" s="2">
        <v>5485.69</v>
      </c>
    </row>
    <row r="298" spans="1:5" x14ac:dyDescent="0.25">
      <c r="A298" t="s">
        <v>482</v>
      </c>
      <c r="B298" t="s">
        <v>483</v>
      </c>
      <c r="C298" s="1">
        <v>45517</v>
      </c>
      <c r="D298" t="s">
        <v>7</v>
      </c>
      <c r="E298" s="2">
        <v>9748.86</v>
      </c>
    </row>
    <row r="299" spans="1:5" x14ac:dyDescent="0.25">
      <c r="A299" t="s">
        <v>484</v>
      </c>
      <c r="B299" t="s">
        <v>131</v>
      </c>
      <c r="C299" s="1">
        <v>46016</v>
      </c>
      <c r="D299" t="s">
        <v>16</v>
      </c>
      <c r="E299" s="2">
        <v>8937.75</v>
      </c>
    </row>
    <row r="300" spans="1:5" x14ac:dyDescent="0.25">
      <c r="A300" t="s">
        <v>485</v>
      </c>
      <c r="B300" t="s">
        <v>486</v>
      </c>
      <c r="C300" s="1">
        <v>45627</v>
      </c>
      <c r="D300" t="s">
        <v>16</v>
      </c>
      <c r="E300" s="2">
        <v>3283.57</v>
      </c>
    </row>
    <row r="301" spans="1:5" x14ac:dyDescent="0.25">
      <c r="A301" t="s">
        <v>487</v>
      </c>
      <c r="B301" t="s">
        <v>24</v>
      </c>
      <c r="C301" s="1">
        <v>45888</v>
      </c>
      <c r="D301" t="s">
        <v>13</v>
      </c>
      <c r="E301" s="2">
        <v>5526.66</v>
      </c>
    </row>
    <row r="302" spans="1:5" x14ac:dyDescent="0.25">
      <c r="A302" t="s">
        <v>488</v>
      </c>
      <c r="B302" t="s">
        <v>158</v>
      </c>
      <c r="C302" s="1">
        <v>45626</v>
      </c>
      <c r="D302" t="s">
        <v>13</v>
      </c>
      <c r="E302" s="2">
        <v>2965.39</v>
      </c>
    </row>
    <row r="303" spans="1:5" x14ac:dyDescent="0.25">
      <c r="A303" t="s">
        <v>489</v>
      </c>
      <c r="B303" t="s">
        <v>185</v>
      </c>
      <c r="C303" s="1">
        <v>45797</v>
      </c>
      <c r="D303" t="s">
        <v>7</v>
      </c>
      <c r="E303" s="2">
        <v>4851.3500000000004</v>
      </c>
    </row>
    <row r="304" spans="1:5" x14ac:dyDescent="0.25">
      <c r="A304" t="s">
        <v>490</v>
      </c>
      <c r="B304" t="s">
        <v>345</v>
      </c>
      <c r="C304" s="1">
        <v>45414</v>
      </c>
      <c r="D304" t="s">
        <v>34</v>
      </c>
      <c r="E304" s="2">
        <v>4860.37</v>
      </c>
    </row>
    <row r="305" spans="1:5" x14ac:dyDescent="0.25">
      <c r="A305" t="s">
        <v>491</v>
      </c>
      <c r="B305" t="s">
        <v>98</v>
      </c>
      <c r="C305" s="1">
        <v>45631</v>
      </c>
      <c r="D305" t="s">
        <v>13</v>
      </c>
      <c r="E305" s="2">
        <v>5084.28</v>
      </c>
    </row>
    <row r="306" spans="1:5" x14ac:dyDescent="0.25">
      <c r="A306" t="s">
        <v>492</v>
      </c>
      <c r="B306" t="s">
        <v>434</v>
      </c>
      <c r="C306" s="1">
        <v>45446</v>
      </c>
      <c r="D306" t="s">
        <v>13</v>
      </c>
      <c r="E306" s="2">
        <v>5517.85</v>
      </c>
    </row>
    <row r="307" spans="1:5" x14ac:dyDescent="0.25">
      <c r="A307" t="s">
        <v>493</v>
      </c>
      <c r="B307" t="s">
        <v>494</v>
      </c>
      <c r="C307" s="1">
        <v>45969</v>
      </c>
      <c r="D307" t="s">
        <v>27</v>
      </c>
      <c r="E307" s="2">
        <v>2114.94</v>
      </c>
    </row>
    <row r="308" spans="1:5" x14ac:dyDescent="0.25">
      <c r="A308" t="s">
        <v>495</v>
      </c>
      <c r="B308" t="s">
        <v>345</v>
      </c>
      <c r="C308" s="1">
        <v>45654</v>
      </c>
      <c r="D308" t="s">
        <v>7</v>
      </c>
      <c r="E308" s="2">
        <v>2448.84</v>
      </c>
    </row>
    <row r="309" spans="1:5" x14ac:dyDescent="0.25">
      <c r="A309" t="s">
        <v>496</v>
      </c>
      <c r="B309" t="s">
        <v>104</v>
      </c>
      <c r="C309" s="1">
        <v>45711</v>
      </c>
      <c r="D309" t="s">
        <v>7</v>
      </c>
      <c r="E309" s="2">
        <v>4662.37</v>
      </c>
    </row>
    <row r="310" spans="1:5" x14ac:dyDescent="0.25">
      <c r="A310" t="s">
        <v>497</v>
      </c>
      <c r="B310" t="s">
        <v>458</v>
      </c>
      <c r="C310" s="1">
        <v>45850</v>
      </c>
      <c r="D310" t="s">
        <v>34</v>
      </c>
      <c r="E310" s="2">
        <v>7942.99</v>
      </c>
    </row>
    <row r="311" spans="1:5" x14ac:dyDescent="0.25">
      <c r="A311" t="s">
        <v>498</v>
      </c>
      <c r="B311" t="s">
        <v>203</v>
      </c>
      <c r="C311" s="1">
        <v>45745</v>
      </c>
      <c r="D311" t="s">
        <v>13</v>
      </c>
      <c r="E311" s="2">
        <v>1720.62</v>
      </c>
    </row>
    <row r="312" spans="1:5" x14ac:dyDescent="0.25">
      <c r="A312" t="s">
        <v>499</v>
      </c>
      <c r="B312" t="s">
        <v>500</v>
      </c>
      <c r="C312" s="1">
        <v>45484</v>
      </c>
      <c r="D312" t="s">
        <v>63</v>
      </c>
      <c r="E312" s="2">
        <v>4565.22</v>
      </c>
    </row>
    <row r="313" spans="1:5" x14ac:dyDescent="0.25">
      <c r="A313" t="s">
        <v>501</v>
      </c>
      <c r="B313" t="s">
        <v>284</v>
      </c>
      <c r="C313" s="1">
        <v>45758</v>
      </c>
      <c r="D313" t="s">
        <v>27</v>
      </c>
      <c r="E313" s="2">
        <v>3407.74</v>
      </c>
    </row>
    <row r="314" spans="1:5" x14ac:dyDescent="0.25">
      <c r="A314" t="s">
        <v>502</v>
      </c>
      <c r="B314" t="s">
        <v>503</v>
      </c>
      <c r="C314" s="1">
        <v>45700</v>
      </c>
      <c r="D314" t="s">
        <v>63</v>
      </c>
      <c r="E314" s="2">
        <v>3649.44</v>
      </c>
    </row>
    <row r="315" spans="1:5" x14ac:dyDescent="0.25">
      <c r="A315" t="s">
        <v>504</v>
      </c>
      <c r="B315" t="s">
        <v>505</v>
      </c>
      <c r="C315" s="1">
        <v>45721</v>
      </c>
      <c r="D315" t="s">
        <v>16</v>
      </c>
      <c r="E315" s="2">
        <v>2118.67</v>
      </c>
    </row>
    <row r="316" spans="1:5" x14ac:dyDescent="0.25">
      <c r="A316" t="s">
        <v>506</v>
      </c>
      <c r="B316" t="s">
        <v>102</v>
      </c>
      <c r="C316" s="1">
        <v>45734</v>
      </c>
      <c r="D316" t="s">
        <v>34</v>
      </c>
      <c r="E316" s="2">
        <v>1454.15</v>
      </c>
    </row>
    <row r="317" spans="1:5" x14ac:dyDescent="0.25">
      <c r="A317" t="s">
        <v>507</v>
      </c>
      <c r="B317" t="s">
        <v>362</v>
      </c>
      <c r="C317" s="1">
        <v>45987</v>
      </c>
      <c r="D317" t="s">
        <v>16</v>
      </c>
      <c r="E317" s="2">
        <v>4924.92</v>
      </c>
    </row>
    <row r="318" spans="1:5" x14ac:dyDescent="0.25">
      <c r="A318" t="s">
        <v>508</v>
      </c>
      <c r="B318" t="s">
        <v>85</v>
      </c>
      <c r="C318" s="1">
        <v>45534</v>
      </c>
      <c r="D318" t="s">
        <v>34</v>
      </c>
      <c r="E318" s="2">
        <v>7252.77</v>
      </c>
    </row>
    <row r="319" spans="1:5" x14ac:dyDescent="0.25">
      <c r="A319" t="s">
        <v>509</v>
      </c>
      <c r="B319" t="s">
        <v>148</v>
      </c>
      <c r="C319" s="1">
        <v>45754</v>
      </c>
      <c r="D319" t="s">
        <v>68</v>
      </c>
      <c r="E319" s="2">
        <v>1437.79</v>
      </c>
    </row>
    <row r="320" spans="1:5" x14ac:dyDescent="0.25">
      <c r="A320" t="s">
        <v>510</v>
      </c>
      <c r="B320" t="s">
        <v>511</v>
      </c>
      <c r="C320" s="1">
        <v>45335</v>
      </c>
      <c r="D320" t="s">
        <v>7</v>
      </c>
      <c r="E320" s="2">
        <v>3061.32</v>
      </c>
    </row>
    <row r="321" spans="1:5" x14ac:dyDescent="0.25">
      <c r="A321" t="s">
        <v>512</v>
      </c>
      <c r="B321" t="s">
        <v>500</v>
      </c>
      <c r="C321" s="1">
        <v>45998</v>
      </c>
      <c r="D321" t="s">
        <v>27</v>
      </c>
      <c r="E321" s="2">
        <v>2953.03</v>
      </c>
    </row>
    <row r="322" spans="1:5" x14ac:dyDescent="0.25">
      <c r="A322" t="s">
        <v>513</v>
      </c>
      <c r="B322" t="s">
        <v>392</v>
      </c>
      <c r="C322" s="1">
        <v>45882</v>
      </c>
      <c r="D322" t="s">
        <v>27</v>
      </c>
      <c r="E322" s="2">
        <v>7094.01</v>
      </c>
    </row>
    <row r="323" spans="1:5" x14ac:dyDescent="0.25">
      <c r="A323" t="s">
        <v>514</v>
      </c>
      <c r="B323" t="s">
        <v>150</v>
      </c>
      <c r="C323" s="1">
        <v>45530</v>
      </c>
      <c r="D323" t="s">
        <v>63</v>
      </c>
      <c r="E323" s="2">
        <v>5063.18</v>
      </c>
    </row>
    <row r="324" spans="1:5" x14ac:dyDescent="0.25">
      <c r="A324" t="s">
        <v>515</v>
      </c>
      <c r="B324" t="s">
        <v>94</v>
      </c>
      <c r="C324" s="1">
        <v>45704</v>
      </c>
      <c r="D324" t="s">
        <v>13</v>
      </c>
      <c r="E324" s="2">
        <v>5975.35</v>
      </c>
    </row>
    <row r="325" spans="1:5" x14ac:dyDescent="0.25">
      <c r="A325" t="s">
        <v>516</v>
      </c>
      <c r="B325" t="s">
        <v>268</v>
      </c>
      <c r="C325" s="1">
        <v>45448</v>
      </c>
      <c r="D325" t="s">
        <v>34</v>
      </c>
      <c r="E325" s="2">
        <v>672.92</v>
      </c>
    </row>
    <row r="326" spans="1:5" x14ac:dyDescent="0.25">
      <c r="A326" t="s">
        <v>517</v>
      </c>
      <c r="B326" t="s">
        <v>144</v>
      </c>
      <c r="C326" s="1">
        <v>45313</v>
      </c>
      <c r="D326" t="s">
        <v>16</v>
      </c>
      <c r="E326" s="2">
        <v>357.96</v>
      </c>
    </row>
    <row r="327" spans="1:5" x14ac:dyDescent="0.25">
      <c r="A327" t="s">
        <v>518</v>
      </c>
      <c r="B327" t="s">
        <v>58</v>
      </c>
      <c r="C327" s="1">
        <v>45439</v>
      </c>
      <c r="D327" t="s">
        <v>34</v>
      </c>
      <c r="E327" s="2">
        <v>9223.02</v>
      </c>
    </row>
    <row r="328" spans="1:5" x14ac:dyDescent="0.25">
      <c r="A328" t="s">
        <v>519</v>
      </c>
      <c r="B328" t="s">
        <v>116</v>
      </c>
      <c r="C328" s="1">
        <v>45979</v>
      </c>
      <c r="D328" t="s">
        <v>10</v>
      </c>
      <c r="E328" s="2">
        <v>4701.97</v>
      </c>
    </row>
    <row r="329" spans="1:5" x14ac:dyDescent="0.25">
      <c r="A329" t="s">
        <v>520</v>
      </c>
      <c r="B329" t="s">
        <v>26</v>
      </c>
      <c r="C329" s="1">
        <v>45738</v>
      </c>
      <c r="D329" t="s">
        <v>27</v>
      </c>
      <c r="E329" s="2">
        <v>4160.54</v>
      </c>
    </row>
    <row r="330" spans="1:5" x14ac:dyDescent="0.25">
      <c r="A330" t="s">
        <v>521</v>
      </c>
      <c r="B330" t="s">
        <v>329</v>
      </c>
      <c r="C330" s="1">
        <v>45517</v>
      </c>
      <c r="D330" t="s">
        <v>68</v>
      </c>
      <c r="E330" s="2">
        <v>8690.1200000000008</v>
      </c>
    </row>
    <row r="331" spans="1:5" x14ac:dyDescent="0.25">
      <c r="A331" t="s">
        <v>522</v>
      </c>
      <c r="B331" t="s">
        <v>486</v>
      </c>
      <c r="C331" s="1">
        <v>45434</v>
      </c>
      <c r="D331" t="s">
        <v>63</v>
      </c>
      <c r="E331" s="2">
        <v>3410.11</v>
      </c>
    </row>
    <row r="332" spans="1:5" x14ac:dyDescent="0.25">
      <c r="A332" t="s">
        <v>523</v>
      </c>
      <c r="B332" t="s">
        <v>36</v>
      </c>
      <c r="C332" s="1">
        <v>46004</v>
      </c>
      <c r="D332" t="s">
        <v>7</v>
      </c>
      <c r="E332" s="2">
        <v>1851.22</v>
      </c>
    </row>
    <row r="333" spans="1:5" x14ac:dyDescent="0.25">
      <c r="A333" t="s">
        <v>524</v>
      </c>
      <c r="B333" t="s">
        <v>110</v>
      </c>
      <c r="C333" s="1">
        <v>45581</v>
      </c>
      <c r="D333" t="s">
        <v>10</v>
      </c>
      <c r="E333" s="2">
        <v>2307.92</v>
      </c>
    </row>
    <row r="334" spans="1:5" x14ac:dyDescent="0.25">
      <c r="A334" t="s">
        <v>525</v>
      </c>
      <c r="B334" t="s">
        <v>258</v>
      </c>
      <c r="C334" s="1">
        <v>45309</v>
      </c>
      <c r="D334" t="s">
        <v>7</v>
      </c>
      <c r="E334" s="2">
        <v>1625.7</v>
      </c>
    </row>
    <row r="335" spans="1:5" x14ac:dyDescent="0.25">
      <c r="A335" t="s">
        <v>526</v>
      </c>
      <c r="B335" t="s">
        <v>24</v>
      </c>
      <c r="C335" s="1">
        <v>45640</v>
      </c>
      <c r="D335" t="s">
        <v>27</v>
      </c>
      <c r="E335" s="2">
        <v>7274.3</v>
      </c>
    </row>
    <row r="336" spans="1:5" x14ac:dyDescent="0.25">
      <c r="A336" t="s">
        <v>527</v>
      </c>
      <c r="B336" t="s">
        <v>40</v>
      </c>
      <c r="C336" s="1">
        <v>45326</v>
      </c>
      <c r="D336" t="s">
        <v>34</v>
      </c>
      <c r="E336" s="2">
        <v>2661.83</v>
      </c>
    </row>
    <row r="337" spans="1:5" x14ac:dyDescent="0.25">
      <c r="A337" t="s">
        <v>528</v>
      </c>
      <c r="B337" t="s">
        <v>462</v>
      </c>
      <c r="C337" s="1">
        <v>45912</v>
      </c>
      <c r="D337" t="s">
        <v>13</v>
      </c>
      <c r="E337" s="2">
        <v>6500.1</v>
      </c>
    </row>
    <row r="338" spans="1:5" x14ac:dyDescent="0.25">
      <c r="A338" t="s">
        <v>529</v>
      </c>
      <c r="B338" t="s">
        <v>112</v>
      </c>
      <c r="C338" s="1">
        <v>45613</v>
      </c>
      <c r="D338" t="s">
        <v>27</v>
      </c>
      <c r="E338" s="2">
        <v>3288.49</v>
      </c>
    </row>
    <row r="339" spans="1:5" x14ac:dyDescent="0.25">
      <c r="A339" t="s">
        <v>530</v>
      </c>
      <c r="B339" t="s">
        <v>112</v>
      </c>
      <c r="C339" s="1">
        <v>45643</v>
      </c>
      <c r="D339" t="s">
        <v>13</v>
      </c>
      <c r="E339" s="2">
        <v>917.76</v>
      </c>
    </row>
    <row r="340" spans="1:5" x14ac:dyDescent="0.25">
      <c r="A340" t="s">
        <v>531</v>
      </c>
      <c r="B340" t="s">
        <v>214</v>
      </c>
      <c r="C340" s="1">
        <v>45807</v>
      </c>
      <c r="D340" t="s">
        <v>10</v>
      </c>
      <c r="E340" s="2">
        <v>4760.83</v>
      </c>
    </row>
    <row r="341" spans="1:5" x14ac:dyDescent="0.25">
      <c r="A341" t="s">
        <v>532</v>
      </c>
      <c r="B341" t="s">
        <v>284</v>
      </c>
      <c r="C341" s="1">
        <v>45930</v>
      </c>
      <c r="D341" t="s">
        <v>7</v>
      </c>
      <c r="E341" s="2">
        <v>7824.3</v>
      </c>
    </row>
    <row r="342" spans="1:5" x14ac:dyDescent="0.25">
      <c r="A342" t="s">
        <v>533</v>
      </c>
      <c r="B342" t="s">
        <v>172</v>
      </c>
      <c r="C342" s="1">
        <v>45994</v>
      </c>
      <c r="D342" t="s">
        <v>16</v>
      </c>
      <c r="E342" s="2">
        <v>6728.84</v>
      </c>
    </row>
    <row r="343" spans="1:5" x14ac:dyDescent="0.25">
      <c r="A343" t="s">
        <v>534</v>
      </c>
      <c r="B343" t="s">
        <v>458</v>
      </c>
      <c r="C343" s="1">
        <v>45992</v>
      </c>
      <c r="D343" t="s">
        <v>34</v>
      </c>
      <c r="E343" s="2">
        <v>7108.38</v>
      </c>
    </row>
    <row r="344" spans="1:5" x14ac:dyDescent="0.25">
      <c r="A344" t="s">
        <v>535</v>
      </c>
      <c r="B344" t="s">
        <v>306</v>
      </c>
      <c r="C344" s="1">
        <v>45889</v>
      </c>
      <c r="D344" t="s">
        <v>13</v>
      </c>
      <c r="E344" s="2">
        <v>8625.1299999999992</v>
      </c>
    </row>
    <row r="345" spans="1:5" x14ac:dyDescent="0.25">
      <c r="A345" t="s">
        <v>536</v>
      </c>
      <c r="B345" t="s">
        <v>537</v>
      </c>
      <c r="C345" s="1">
        <v>45895</v>
      </c>
      <c r="D345" t="s">
        <v>13</v>
      </c>
      <c r="E345" s="2">
        <v>8512.2099999999991</v>
      </c>
    </row>
    <row r="346" spans="1:5" x14ac:dyDescent="0.25">
      <c r="A346" t="s">
        <v>538</v>
      </c>
      <c r="B346" t="s">
        <v>74</v>
      </c>
      <c r="C346" s="1">
        <v>46008</v>
      </c>
      <c r="D346" t="s">
        <v>63</v>
      </c>
      <c r="E346" s="2">
        <v>9096.35</v>
      </c>
    </row>
    <row r="347" spans="1:5" x14ac:dyDescent="0.25">
      <c r="A347" t="s">
        <v>539</v>
      </c>
      <c r="B347" t="s">
        <v>24</v>
      </c>
      <c r="C347" s="1">
        <v>45862</v>
      </c>
      <c r="D347" t="s">
        <v>13</v>
      </c>
      <c r="E347" s="2">
        <v>5888.43</v>
      </c>
    </row>
    <row r="348" spans="1:5" x14ac:dyDescent="0.25">
      <c r="A348" t="s">
        <v>540</v>
      </c>
      <c r="B348" t="s">
        <v>464</v>
      </c>
      <c r="C348" s="1">
        <v>45294</v>
      </c>
      <c r="D348" t="s">
        <v>68</v>
      </c>
      <c r="E348" s="2">
        <v>3179.22</v>
      </c>
    </row>
    <row r="349" spans="1:5" x14ac:dyDescent="0.25">
      <c r="A349" t="s">
        <v>541</v>
      </c>
      <c r="B349" t="s">
        <v>542</v>
      </c>
      <c r="C349" s="1">
        <v>45529</v>
      </c>
      <c r="D349" t="s">
        <v>16</v>
      </c>
      <c r="E349" s="2">
        <v>3501.74</v>
      </c>
    </row>
    <row r="350" spans="1:5" x14ac:dyDescent="0.25">
      <c r="A350" t="s">
        <v>543</v>
      </c>
      <c r="B350" t="s">
        <v>382</v>
      </c>
      <c r="C350" s="1">
        <v>45636</v>
      </c>
      <c r="D350" t="s">
        <v>10</v>
      </c>
      <c r="E350" s="2">
        <v>3107.31</v>
      </c>
    </row>
    <row r="351" spans="1:5" x14ac:dyDescent="0.25">
      <c r="A351" t="s">
        <v>544</v>
      </c>
      <c r="B351" t="s">
        <v>366</v>
      </c>
      <c r="C351" s="1">
        <v>45457</v>
      </c>
      <c r="D351" t="s">
        <v>7</v>
      </c>
      <c r="E351" s="2">
        <v>197.3</v>
      </c>
    </row>
    <row r="352" spans="1:5" x14ac:dyDescent="0.25">
      <c r="A352" t="s">
        <v>545</v>
      </c>
      <c r="B352" t="s">
        <v>54</v>
      </c>
      <c r="C352" s="1">
        <v>45567</v>
      </c>
      <c r="D352" t="s">
        <v>63</v>
      </c>
      <c r="E352" s="2">
        <v>5788.2</v>
      </c>
    </row>
    <row r="353" spans="1:5" x14ac:dyDescent="0.25">
      <c r="A353" t="s">
        <v>546</v>
      </c>
      <c r="B353" t="s">
        <v>547</v>
      </c>
      <c r="C353" s="1">
        <v>45969</v>
      </c>
      <c r="D353" t="s">
        <v>27</v>
      </c>
      <c r="E353" s="2">
        <v>6435.92</v>
      </c>
    </row>
    <row r="354" spans="1:5" x14ac:dyDescent="0.25">
      <c r="A354" t="s">
        <v>548</v>
      </c>
      <c r="B354" t="s">
        <v>83</v>
      </c>
      <c r="C354" s="1">
        <v>45296</v>
      </c>
      <c r="D354" t="s">
        <v>63</v>
      </c>
      <c r="E354" s="2">
        <v>6799.94</v>
      </c>
    </row>
    <row r="355" spans="1:5" x14ac:dyDescent="0.25">
      <c r="A355" t="s">
        <v>549</v>
      </c>
      <c r="B355" t="s">
        <v>550</v>
      </c>
      <c r="C355" s="1">
        <v>45507</v>
      </c>
      <c r="D355" t="s">
        <v>63</v>
      </c>
      <c r="E355" s="2">
        <v>5811.69</v>
      </c>
    </row>
    <row r="356" spans="1:5" x14ac:dyDescent="0.25">
      <c r="A356" t="s">
        <v>551</v>
      </c>
      <c r="B356" t="s">
        <v>375</v>
      </c>
      <c r="C356" s="1">
        <v>45967</v>
      </c>
      <c r="D356" t="s">
        <v>68</v>
      </c>
      <c r="E356" s="2">
        <v>2220.48</v>
      </c>
    </row>
    <row r="357" spans="1:5" x14ac:dyDescent="0.25">
      <c r="A357" t="s">
        <v>552</v>
      </c>
      <c r="B357" t="s">
        <v>553</v>
      </c>
      <c r="C357" s="1">
        <v>45436</v>
      </c>
      <c r="D357" t="s">
        <v>34</v>
      </c>
      <c r="E357" s="2">
        <v>3332.45</v>
      </c>
    </row>
    <row r="358" spans="1:5" x14ac:dyDescent="0.25">
      <c r="A358" t="s">
        <v>554</v>
      </c>
      <c r="B358" t="s">
        <v>29</v>
      </c>
      <c r="C358" s="1">
        <v>45733</v>
      </c>
      <c r="D358" t="s">
        <v>68</v>
      </c>
      <c r="E358" s="2">
        <v>4152.91</v>
      </c>
    </row>
    <row r="359" spans="1:5" x14ac:dyDescent="0.25">
      <c r="A359" t="s">
        <v>555</v>
      </c>
      <c r="B359" t="s">
        <v>556</v>
      </c>
      <c r="C359" s="1">
        <v>45602</v>
      </c>
      <c r="D359" t="s">
        <v>63</v>
      </c>
      <c r="E359" s="2">
        <v>1030.46</v>
      </c>
    </row>
    <row r="360" spans="1:5" x14ac:dyDescent="0.25">
      <c r="A360" t="s">
        <v>557</v>
      </c>
      <c r="B360" t="s">
        <v>382</v>
      </c>
      <c r="C360" s="1">
        <v>45496</v>
      </c>
      <c r="D360" t="s">
        <v>68</v>
      </c>
      <c r="E360" s="2">
        <v>8622.26</v>
      </c>
    </row>
    <row r="361" spans="1:5" x14ac:dyDescent="0.25">
      <c r="A361" t="s">
        <v>558</v>
      </c>
      <c r="B361" t="s">
        <v>559</v>
      </c>
      <c r="C361" s="1">
        <v>45885</v>
      </c>
      <c r="D361" t="s">
        <v>27</v>
      </c>
      <c r="E361" s="2">
        <v>1528.9</v>
      </c>
    </row>
    <row r="362" spans="1:5" x14ac:dyDescent="0.25">
      <c r="A362" t="s">
        <v>560</v>
      </c>
      <c r="B362" t="s">
        <v>561</v>
      </c>
      <c r="C362" s="1">
        <v>45862</v>
      </c>
      <c r="D362" t="s">
        <v>27</v>
      </c>
      <c r="E362" s="2">
        <v>1953.82</v>
      </c>
    </row>
    <row r="363" spans="1:5" x14ac:dyDescent="0.25">
      <c r="A363" t="s">
        <v>562</v>
      </c>
      <c r="B363" t="s">
        <v>176</v>
      </c>
      <c r="C363" s="1">
        <v>45710</v>
      </c>
      <c r="D363" t="s">
        <v>7</v>
      </c>
      <c r="E363" s="2">
        <v>3381.44</v>
      </c>
    </row>
    <row r="364" spans="1:5" x14ac:dyDescent="0.25">
      <c r="A364" t="s">
        <v>563</v>
      </c>
      <c r="B364" t="s">
        <v>564</v>
      </c>
      <c r="C364" s="1">
        <v>45684</v>
      </c>
      <c r="D364" t="s">
        <v>16</v>
      </c>
      <c r="E364" s="2">
        <v>5463.75</v>
      </c>
    </row>
    <row r="365" spans="1:5" x14ac:dyDescent="0.25">
      <c r="A365" t="s">
        <v>565</v>
      </c>
      <c r="B365" t="s">
        <v>566</v>
      </c>
      <c r="C365" s="1">
        <v>45736</v>
      </c>
      <c r="D365" t="s">
        <v>13</v>
      </c>
      <c r="E365" s="2">
        <v>9168.59</v>
      </c>
    </row>
    <row r="366" spans="1:5" x14ac:dyDescent="0.25">
      <c r="A366" t="s">
        <v>567</v>
      </c>
      <c r="B366" t="s">
        <v>235</v>
      </c>
      <c r="C366" s="1">
        <v>45979</v>
      </c>
      <c r="D366" t="s">
        <v>63</v>
      </c>
      <c r="E366" s="2">
        <v>7852.63</v>
      </c>
    </row>
    <row r="367" spans="1:5" x14ac:dyDescent="0.25">
      <c r="A367" t="s">
        <v>568</v>
      </c>
      <c r="B367" t="s">
        <v>38</v>
      </c>
      <c r="C367" s="1">
        <v>45496</v>
      </c>
      <c r="D367" t="s">
        <v>68</v>
      </c>
      <c r="E367" s="2">
        <v>9770.11</v>
      </c>
    </row>
    <row r="368" spans="1:5" x14ac:dyDescent="0.25">
      <c r="A368" t="s">
        <v>569</v>
      </c>
      <c r="B368" t="s">
        <v>437</v>
      </c>
      <c r="C368" s="1">
        <v>45377</v>
      </c>
      <c r="D368" t="s">
        <v>27</v>
      </c>
      <c r="E368" s="2">
        <v>5419.1</v>
      </c>
    </row>
    <row r="369" spans="1:5" x14ac:dyDescent="0.25">
      <c r="A369" t="s">
        <v>570</v>
      </c>
      <c r="B369" t="s">
        <v>571</v>
      </c>
      <c r="C369" s="1">
        <v>45564</v>
      </c>
      <c r="D369" t="s">
        <v>10</v>
      </c>
      <c r="E369" s="2">
        <v>3608.23</v>
      </c>
    </row>
    <row r="370" spans="1:5" x14ac:dyDescent="0.25">
      <c r="A370" t="s">
        <v>572</v>
      </c>
      <c r="B370" t="s">
        <v>345</v>
      </c>
      <c r="C370" s="1">
        <v>45306</v>
      </c>
      <c r="D370" t="s">
        <v>7</v>
      </c>
      <c r="E370" s="2">
        <v>8863.11</v>
      </c>
    </row>
    <row r="371" spans="1:5" x14ac:dyDescent="0.25">
      <c r="A371" t="s">
        <v>573</v>
      </c>
      <c r="B371" t="s">
        <v>483</v>
      </c>
      <c r="C371" s="1">
        <v>45312</v>
      </c>
      <c r="D371" t="s">
        <v>34</v>
      </c>
      <c r="E371" s="2">
        <v>445.6</v>
      </c>
    </row>
    <row r="372" spans="1:5" x14ac:dyDescent="0.25">
      <c r="A372" t="s">
        <v>574</v>
      </c>
      <c r="B372" t="s">
        <v>80</v>
      </c>
      <c r="C372" s="1">
        <v>45400</v>
      </c>
      <c r="D372" t="s">
        <v>68</v>
      </c>
      <c r="E372" s="2">
        <v>9642.1200000000008</v>
      </c>
    </row>
    <row r="373" spans="1:5" x14ac:dyDescent="0.25">
      <c r="A373" t="s">
        <v>575</v>
      </c>
      <c r="B373" t="s">
        <v>443</v>
      </c>
      <c r="C373" s="1">
        <v>45807</v>
      </c>
      <c r="D373" t="s">
        <v>13</v>
      </c>
      <c r="E373" s="2">
        <v>5510.23</v>
      </c>
    </row>
    <row r="374" spans="1:5" x14ac:dyDescent="0.25">
      <c r="A374" t="s">
        <v>576</v>
      </c>
      <c r="B374" t="s">
        <v>437</v>
      </c>
      <c r="C374" s="1">
        <v>45380</v>
      </c>
      <c r="D374" t="s">
        <v>63</v>
      </c>
      <c r="E374" s="2">
        <v>1317.72</v>
      </c>
    </row>
    <row r="375" spans="1:5" x14ac:dyDescent="0.25">
      <c r="A375" t="s">
        <v>577</v>
      </c>
      <c r="B375" t="s">
        <v>118</v>
      </c>
      <c r="C375" s="1">
        <v>45347</v>
      </c>
      <c r="D375" t="s">
        <v>16</v>
      </c>
      <c r="E375" s="2">
        <v>1930.71</v>
      </c>
    </row>
    <row r="376" spans="1:5" x14ac:dyDescent="0.25">
      <c r="A376" t="s">
        <v>578</v>
      </c>
      <c r="B376" t="s">
        <v>253</v>
      </c>
      <c r="C376" s="1">
        <v>45600</v>
      </c>
      <c r="D376" t="s">
        <v>7</v>
      </c>
      <c r="E376" s="2">
        <v>9573.93</v>
      </c>
    </row>
    <row r="377" spans="1:5" x14ac:dyDescent="0.25">
      <c r="A377" t="s">
        <v>579</v>
      </c>
      <c r="B377" t="s">
        <v>122</v>
      </c>
      <c r="C377" s="1">
        <v>46002</v>
      </c>
      <c r="D377" t="s">
        <v>10</v>
      </c>
      <c r="E377" s="2">
        <v>509.55</v>
      </c>
    </row>
    <row r="378" spans="1:5" x14ac:dyDescent="0.25">
      <c r="A378" t="s">
        <v>580</v>
      </c>
      <c r="B378" t="s">
        <v>326</v>
      </c>
      <c r="C378" s="1">
        <v>45984</v>
      </c>
      <c r="D378" t="s">
        <v>34</v>
      </c>
      <c r="E378" s="2">
        <v>6111.63</v>
      </c>
    </row>
    <row r="379" spans="1:5" x14ac:dyDescent="0.25">
      <c r="A379" t="s">
        <v>581</v>
      </c>
      <c r="B379" t="s">
        <v>118</v>
      </c>
      <c r="C379" s="1">
        <v>45750</v>
      </c>
      <c r="D379" t="s">
        <v>27</v>
      </c>
      <c r="E379" s="2">
        <v>2349.67</v>
      </c>
    </row>
    <row r="380" spans="1:5" x14ac:dyDescent="0.25">
      <c r="A380" t="s">
        <v>582</v>
      </c>
      <c r="B380" t="s">
        <v>248</v>
      </c>
      <c r="C380" s="1">
        <v>45574</v>
      </c>
      <c r="D380" t="s">
        <v>27</v>
      </c>
      <c r="E380" s="2">
        <v>7757.72</v>
      </c>
    </row>
    <row r="381" spans="1:5" x14ac:dyDescent="0.25">
      <c r="A381" t="s">
        <v>583</v>
      </c>
      <c r="B381" t="s">
        <v>286</v>
      </c>
      <c r="C381" s="1">
        <v>45856</v>
      </c>
      <c r="D381" t="s">
        <v>27</v>
      </c>
      <c r="E381" s="2">
        <v>5157.1899999999996</v>
      </c>
    </row>
    <row r="382" spans="1:5" x14ac:dyDescent="0.25">
      <c r="A382" t="s">
        <v>584</v>
      </c>
      <c r="B382" t="s">
        <v>434</v>
      </c>
      <c r="C382" s="1">
        <v>45343</v>
      </c>
      <c r="D382" t="s">
        <v>13</v>
      </c>
      <c r="E382" s="2">
        <v>1088.3599999999999</v>
      </c>
    </row>
    <row r="383" spans="1:5" x14ac:dyDescent="0.25">
      <c r="A383" t="s">
        <v>585</v>
      </c>
      <c r="B383" t="s">
        <v>191</v>
      </c>
      <c r="C383" s="1">
        <v>45524</v>
      </c>
      <c r="D383" t="s">
        <v>16</v>
      </c>
      <c r="E383" s="2">
        <v>9498.31</v>
      </c>
    </row>
    <row r="384" spans="1:5" x14ac:dyDescent="0.25">
      <c r="A384" t="s">
        <v>586</v>
      </c>
      <c r="B384" t="s">
        <v>587</v>
      </c>
      <c r="C384" s="1">
        <v>45526</v>
      </c>
      <c r="D384" t="s">
        <v>63</v>
      </c>
      <c r="E384" s="2">
        <v>3415.42</v>
      </c>
    </row>
    <row r="385" spans="1:5" x14ac:dyDescent="0.25">
      <c r="A385" t="s">
        <v>588</v>
      </c>
      <c r="B385" t="s">
        <v>85</v>
      </c>
      <c r="C385" s="1">
        <v>45458</v>
      </c>
      <c r="D385" t="s">
        <v>34</v>
      </c>
      <c r="E385" s="2">
        <v>1607.41</v>
      </c>
    </row>
    <row r="386" spans="1:5" x14ac:dyDescent="0.25">
      <c r="A386" t="s">
        <v>589</v>
      </c>
      <c r="B386" t="s">
        <v>187</v>
      </c>
      <c r="C386" s="1">
        <v>45610</v>
      </c>
      <c r="D386" t="s">
        <v>13</v>
      </c>
      <c r="E386" s="2">
        <v>468.15</v>
      </c>
    </row>
    <row r="387" spans="1:5" x14ac:dyDescent="0.25">
      <c r="A387" t="s">
        <v>590</v>
      </c>
      <c r="B387" t="s">
        <v>571</v>
      </c>
      <c r="C387" s="1">
        <v>45700</v>
      </c>
      <c r="D387" t="s">
        <v>13</v>
      </c>
      <c r="E387" s="2">
        <v>8739.1</v>
      </c>
    </row>
    <row r="388" spans="1:5" x14ac:dyDescent="0.25">
      <c r="A388" t="s">
        <v>591</v>
      </c>
      <c r="B388" t="s">
        <v>357</v>
      </c>
      <c r="C388" s="1">
        <v>45412</v>
      </c>
      <c r="D388" t="s">
        <v>68</v>
      </c>
      <c r="E388" s="2">
        <v>4410.55</v>
      </c>
    </row>
    <row r="389" spans="1:5" x14ac:dyDescent="0.25">
      <c r="A389" t="s">
        <v>592</v>
      </c>
      <c r="B389" t="s">
        <v>593</v>
      </c>
      <c r="C389" s="1">
        <v>45407</v>
      </c>
      <c r="D389" t="s">
        <v>7</v>
      </c>
      <c r="E389" s="2">
        <v>176.25</v>
      </c>
    </row>
    <row r="390" spans="1:5" x14ac:dyDescent="0.25">
      <c r="A390" t="s">
        <v>594</v>
      </c>
      <c r="B390" t="s">
        <v>26</v>
      </c>
      <c r="C390" s="1">
        <v>45581</v>
      </c>
      <c r="D390" t="s">
        <v>27</v>
      </c>
      <c r="E390" s="2">
        <v>3504.06</v>
      </c>
    </row>
    <row r="391" spans="1:5" x14ac:dyDescent="0.25">
      <c r="A391" t="s">
        <v>595</v>
      </c>
      <c r="B391" t="s">
        <v>596</v>
      </c>
      <c r="C391" s="1">
        <v>46008</v>
      </c>
      <c r="D391" t="s">
        <v>7</v>
      </c>
      <c r="E391" s="2">
        <v>8433.57</v>
      </c>
    </row>
    <row r="392" spans="1:5" x14ac:dyDescent="0.25">
      <c r="A392" t="s">
        <v>597</v>
      </c>
      <c r="B392" t="s">
        <v>432</v>
      </c>
      <c r="C392" s="1">
        <v>45809</v>
      </c>
      <c r="D392" t="s">
        <v>68</v>
      </c>
      <c r="E392" s="2">
        <v>1309.78</v>
      </c>
    </row>
    <row r="393" spans="1:5" x14ac:dyDescent="0.25">
      <c r="A393" t="s">
        <v>598</v>
      </c>
      <c r="B393" t="s">
        <v>599</v>
      </c>
      <c r="C393" s="1">
        <v>45483</v>
      </c>
      <c r="D393" t="s">
        <v>7</v>
      </c>
      <c r="E393" s="2">
        <v>8572.4500000000007</v>
      </c>
    </row>
    <row r="394" spans="1:5" x14ac:dyDescent="0.25">
      <c r="A394" t="s">
        <v>600</v>
      </c>
      <c r="B394" t="s">
        <v>20</v>
      </c>
      <c r="C394" s="1">
        <v>45406</v>
      </c>
      <c r="D394" t="s">
        <v>34</v>
      </c>
      <c r="E394" s="2">
        <v>2665.72</v>
      </c>
    </row>
    <row r="395" spans="1:5" x14ac:dyDescent="0.25">
      <c r="A395" t="s">
        <v>601</v>
      </c>
      <c r="B395" t="s">
        <v>129</v>
      </c>
      <c r="C395" s="1">
        <v>45309</v>
      </c>
      <c r="D395" t="s">
        <v>63</v>
      </c>
      <c r="E395" s="2">
        <v>2759.37</v>
      </c>
    </row>
    <row r="396" spans="1:5" x14ac:dyDescent="0.25">
      <c r="A396" t="s">
        <v>602</v>
      </c>
      <c r="B396" t="s">
        <v>469</v>
      </c>
      <c r="C396" s="1">
        <v>45330</v>
      </c>
      <c r="D396" t="s">
        <v>10</v>
      </c>
      <c r="E396" s="2">
        <v>6943.07</v>
      </c>
    </row>
    <row r="397" spans="1:5" x14ac:dyDescent="0.25">
      <c r="A397" t="s">
        <v>603</v>
      </c>
      <c r="B397" t="s">
        <v>96</v>
      </c>
      <c r="C397" s="1">
        <v>45821</v>
      </c>
      <c r="D397" t="s">
        <v>16</v>
      </c>
      <c r="E397" s="2">
        <v>1096.1600000000001</v>
      </c>
    </row>
    <row r="398" spans="1:5" x14ac:dyDescent="0.25">
      <c r="A398" t="s">
        <v>604</v>
      </c>
      <c r="B398" t="s">
        <v>375</v>
      </c>
      <c r="C398" s="1">
        <v>45738</v>
      </c>
      <c r="D398" t="s">
        <v>34</v>
      </c>
      <c r="E398" s="2">
        <v>694.65</v>
      </c>
    </row>
    <row r="399" spans="1:5" x14ac:dyDescent="0.25">
      <c r="A399" t="s">
        <v>605</v>
      </c>
      <c r="B399" t="s">
        <v>375</v>
      </c>
      <c r="C399" s="1">
        <v>45556</v>
      </c>
      <c r="D399" t="s">
        <v>13</v>
      </c>
      <c r="E399" s="2">
        <v>3163.02</v>
      </c>
    </row>
    <row r="400" spans="1:5" x14ac:dyDescent="0.25">
      <c r="A400" t="s">
        <v>606</v>
      </c>
      <c r="B400" t="s">
        <v>607</v>
      </c>
      <c r="C400" s="1">
        <v>45687</v>
      </c>
      <c r="D400" t="s">
        <v>7</v>
      </c>
      <c r="E400" s="2">
        <v>4739.6499999999996</v>
      </c>
    </row>
    <row r="401" spans="1:5" x14ac:dyDescent="0.25">
      <c r="A401" t="s">
        <v>608</v>
      </c>
      <c r="B401" t="s">
        <v>293</v>
      </c>
      <c r="C401" s="1">
        <v>45462</v>
      </c>
      <c r="D401" t="s">
        <v>63</v>
      </c>
      <c r="E401" s="2">
        <v>366.61</v>
      </c>
    </row>
    <row r="402" spans="1:5" x14ac:dyDescent="0.25">
      <c r="A402" t="s">
        <v>609</v>
      </c>
      <c r="B402" t="s">
        <v>503</v>
      </c>
      <c r="C402" s="1">
        <v>45534</v>
      </c>
      <c r="D402" t="s">
        <v>16</v>
      </c>
      <c r="E402" s="2">
        <v>8461.99</v>
      </c>
    </row>
    <row r="403" spans="1:5" x14ac:dyDescent="0.25">
      <c r="A403" t="s">
        <v>610</v>
      </c>
      <c r="B403" t="s">
        <v>611</v>
      </c>
      <c r="C403" s="1">
        <v>45355</v>
      </c>
      <c r="D403" t="s">
        <v>68</v>
      </c>
      <c r="E403" s="2">
        <v>9593.06</v>
      </c>
    </row>
    <row r="404" spans="1:5" x14ac:dyDescent="0.25">
      <c r="A404" t="s">
        <v>612</v>
      </c>
      <c r="B404" t="s">
        <v>120</v>
      </c>
      <c r="C404" s="1">
        <v>45878</v>
      </c>
      <c r="D404" t="s">
        <v>34</v>
      </c>
      <c r="E404" s="2">
        <v>9932.94</v>
      </c>
    </row>
    <row r="405" spans="1:5" x14ac:dyDescent="0.25">
      <c r="A405" t="s">
        <v>613</v>
      </c>
      <c r="B405" t="s">
        <v>614</v>
      </c>
      <c r="C405" s="1">
        <v>45637</v>
      </c>
      <c r="D405" t="s">
        <v>16</v>
      </c>
      <c r="E405" s="2">
        <v>9804.9</v>
      </c>
    </row>
    <row r="406" spans="1:5" x14ac:dyDescent="0.25">
      <c r="A406" t="s">
        <v>615</v>
      </c>
      <c r="B406" t="s">
        <v>537</v>
      </c>
      <c r="C406" s="1">
        <v>45732</v>
      </c>
      <c r="D406" t="s">
        <v>10</v>
      </c>
      <c r="E406" s="2">
        <v>6498.99</v>
      </c>
    </row>
    <row r="407" spans="1:5" x14ac:dyDescent="0.25">
      <c r="A407" t="s">
        <v>616</v>
      </c>
      <c r="B407" t="s">
        <v>599</v>
      </c>
      <c r="C407" s="1">
        <v>45422</v>
      </c>
      <c r="D407" t="s">
        <v>63</v>
      </c>
      <c r="E407" s="2">
        <v>3962.21</v>
      </c>
    </row>
    <row r="408" spans="1:5" x14ac:dyDescent="0.25">
      <c r="A408" t="s">
        <v>617</v>
      </c>
      <c r="B408" t="s">
        <v>162</v>
      </c>
      <c r="C408" s="1">
        <v>45786</v>
      </c>
      <c r="D408" t="s">
        <v>7</v>
      </c>
      <c r="E408" s="2">
        <v>5519.37</v>
      </c>
    </row>
    <row r="409" spans="1:5" x14ac:dyDescent="0.25">
      <c r="A409" t="s">
        <v>618</v>
      </c>
      <c r="B409" t="s">
        <v>619</v>
      </c>
      <c r="C409" s="1">
        <v>45876</v>
      </c>
      <c r="D409" t="s">
        <v>27</v>
      </c>
      <c r="E409" s="2">
        <v>558.47</v>
      </c>
    </row>
    <row r="410" spans="1:5" x14ac:dyDescent="0.25">
      <c r="A410" t="s">
        <v>620</v>
      </c>
      <c r="B410" t="s">
        <v>98</v>
      </c>
      <c r="C410" s="1">
        <v>45421</v>
      </c>
      <c r="D410" t="s">
        <v>10</v>
      </c>
      <c r="E410" s="2">
        <v>5124.4799999999996</v>
      </c>
    </row>
    <row r="411" spans="1:5" x14ac:dyDescent="0.25">
      <c r="A411" t="s">
        <v>621</v>
      </c>
      <c r="B411" t="s">
        <v>156</v>
      </c>
      <c r="C411" s="1">
        <v>45699</v>
      </c>
      <c r="D411" t="s">
        <v>68</v>
      </c>
      <c r="E411" s="2">
        <v>3230.09</v>
      </c>
    </row>
    <row r="412" spans="1:5" x14ac:dyDescent="0.25">
      <c r="A412" t="s">
        <v>622</v>
      </c>
      <c r="B412" t="s">
        <v>120</v>
      </c>
      <c r="C412" s="1">
        <v>45689</v>
      </c>
      <c r="D412" t="s">
        <v>27</v>
      </c>
      <c r="E412" s="2">
        <v>609.95000000000005</v>
      </c>
    </row>
    <row r="413" spans="1:5" x14ac:dyDescent="0.25">
      <c r="A413" t="s">
        <v>623</v>
      </c>
      <c r="B413" t="s">
        <v>382</v>
      </c>
      <c r="C413" s="1">
        <v>45822</v>
      </c>
      <c r="D413" t="s">
        <v>13</v>
      </c>
      <c r="E413" s="2">
        <v>7332.84</v>
      </c>
    </row>
    <row r="414" spans="1:5" x14ac:dyDescent="0.25">
      <c r="A414" t="s">
        <v>624</v>
      </c>
      <c r="B414" t="s">
        <v>80</v>
      </c>
      <c r="C414" s="1">
        <v>45765</v>
      </c>
      <c r="D414" t="s">
        <v>63</v>
      </c>
      <c r="E414" s="2">
        <v>7709.18</v>
      </c>
    </row>
    <row r="415" spans="1:5" x14ac:dyDescent="0.25">
      <c r="A415" t="s">
        <v>625</v>
      </c>
      <c r="B415" t="s">
        <v>15</v>
      </c>
      <c r="C415" s="1">
        <v>45521</v>
      </c>
      <c r="D415" t="s">
        <v>16</v>
      </c>
      <c r="E415" s="2">
        <v>8338.99</v>
      </c>
    </row>
    <row r="416" spans="1:5" x14ac:dyDescent="0.25">
      <c r="A416" t="s">
        <v>626</v>
      </c>
      <c r="B416" t="s">
        <v>627</v>
      </c>
      <c r="C416" s="1">
        <v>45896</v>
      </c>
      <c r="D416" t="s">
        <v>13</v>
      </c>
      <c r="E416" s="2">
        <v>3041.47</v>
      </c>
    </row>
    <row r="417" spans="1:5" x14ac:dyDescent="0.25">
      <c r="A417" t="s">
        <v>628</v>
      </c>
      <c r="B417" t="s">
        <v>324</v>
      </c>
      <c r="C417" s="1">
        <v>45826</v>
      </c>
      <c r="D417" t="s">
        <v>27</v>
      </c>
      <c r="E417" s="2">
        <v>7311.44</v>
      </c>
    </row>
    <row r="418" spans="1:5" x14ac:dyDescent="0.25">
      <c r="A418" t="s">
        <v>629</v>
      </c>
      <c r="B418" t="s">
        <v>158</v>
      </c>
      <c r="C418" s="1">
        <v>45545</v>
      </c>
      <c r="D418" t="s">
        <v>13</v>
      </c>
      <c r="E418" s="2">
        <v>8929.6</v>
      </c>
    </row>
    <row r="419" spans="1:5" x14ac:dyDescent="0.25">
      <c r="A419" t="s">
        <v>630</v>
      </c>
      <c r="B419" t="s">
        <v>486</v>
      </c>
      <c r="C419" s="1">
        <v>45313</v>
      </c>
      <c r="D419" t="s">
        <v>7</v>
      </c>
      <c r="E419" s="2">
        <v>9707</v>
      </c>
    </row>
    <row r="420" spans="1:5" x14ac:dyDescent="0.25">
      <c r="A420" t="s">
        <v>631</v>
      </c>
      <c r="B420" t="s">
        <v>31</v>
      </c>
      <c r="C420" s="1">
        <v>45716</v>
      </c>
      <c r="D420" t="s">
        <v>68</v>
      </c>
      <c r="E420" s="2">
        <v>4141.32</v>
      </c>
    </row>
    <row r="421" spans="1:5" x14ac:dyDescent="0.25">
      <c r="A421" t="s">
        <v>632</v>
      </c>
      <c r="B421" t="s">
        <v>607</v>
      </c>
      <c r="C421" s="1">
        <v>45787</v>
      </c>
      <c r="D421" t="s">
        <v>7</v>
      </c>
      <c r="E421" s="2">
        <v>9275.2199999999993</v>
      </c>
    </row>
    <row r="422" spans="1:5" x14ac:dyDescent="0.25">
      <c r="A422" t="s">
        <v>633</v>
      </c>
      <c r="B422" t="s">
        <v>566</v>
      </c>
      <c r="C422" s="1">
        <v>45989</v>
      </c>
      <c r="D422" t="s">
        <v>27</v>
      </c>
      <c r="E422" s="2">
        <v>6822.69</v>
      </c>
    </row>
    <row r="423" spans="1:5" x14ac:dyDescent="0.25">
      <c r="A423" t="s">
        <v>634</v>
      </c>
      <c r="B423" t="s">
        <v>542</v>
      </c>
      <c r="C423" s="1">
        <v>45362</v>
      </c>
      <c r="D423" t="s">
        <v>63</v>
      </c>
      <c r="E423" s="2">
        <v>7102.92</v>
      </c>
    </row>
    <row r="424" spans="1:5" x14ac:dyDescent="0.25">
      <c r="A424" t="s">
        <v>635</v>
      </c>
      <c r="B424" t="s">
        <v>500</v>
      </c>
      <c r="C424" s="1">
        <v>45569</v>
      </c>
      <c r="D424" t="s">
        <v>34</v>
      </c>
      <c r="E424" s="2">
        <v>3127.95</v>
      </c>
    </row>
    <row r="425" spans="1:5" x14ac:dyDescent="0.25">
      <c r="A425" t="s">
        <v>636</v>
      </c>
      <c r="B425" t="s">
        <v>571</v>
      </c>
      <c r="C425" s="1">
        <v>45738</v>
      </c>
      <c r="D425" t="s">
        <v>63</v>
      </c>
      <c r="E425" s="2">
        <v>7994.95</v>
      </c>
    </row>
    <row r="426" spans="1:5" x14ac:dyDescent="0.25">
      <c r="A426" t="s">
        <v>637</v>
      </c>
      <c r="B426" t="s">
        <v>170</v>
      </c>
      <c r="C426" s="1">
        <v>45529</v>
      </c>
      <c r="D426" t="s">
        <v>34</v>
      </c>
      <c r="E426" s="2">
        <v>4033.07</v>
      </c>
    </row>
    <row r="427" spans="1:5" x14ac:dyDescent="0.25">
      <c r="A427" t="s">
        <v>638</v>
      </c>
      <c r="B427" t="s">
        <v>193</v>
      </c>
      <c r="C427" s="1">
        <v>45602</v>
      </c>
      <c r="D427" t="s">
        <v>10</v>
      </c>
      <c r="E427" s="2">
        <v>2604.7800000000002</v>
      </c>
    </row>
    <row r="428" spans="1:5" x14ac:dyDescent="0.25">
      <c r="A428" t="s">
        <v>639</v>
      </c>
      <c r="B428" t="s">
        <v>133</v>
      </c>
      <c r="C428" s="1">
        <v>45530</v>
      </c>
      <c r="D428" t="s">
        <v>68</v>
      </c>
      <c r="E428" s="2">
        <v>2690.86</v>
      </c>
    </row>
    <row r="429" spans="1:5" x14ac:dyDescent="0.25">
      <c r="A429" t="s">
        <v>640</v>
      </c>
      <c r="B429" t="s">
        <v>176</v>
      </c>
      <c r="C429" s="1">
        <v>45429</v>
      </c>
      <c r="D429" t="s">
        <v>68</v>
      </c>
      <c r="E429" s="2">
        <v>766.87</v>
      </c>
    </row>
    <row r="430" spans="1:5" x14ac:dyDescent="0.25">
      <c r="A430" t="s">
        <v>641</v>
      </c>
      <c r="B430" t="s">
        <v>142</v>
      </c>
      <c r="C430" s="1">
        <v>45937</v>
      </c>
      <c r="D430" t="s">
        <v>13</v>
      </c>
      <c r="E430" s="2">
        <v>9431.56</v>
      </c>
    </row>
    <row r="431" spans="1:5" x14ac:dyDescent="0.25">
      <c r="A431" t="s">
        <v>642</v>
      </c>
      <c r="B431" t="s">
        <v>255</v>
      </c>
      <c r="C431" s="1">
        <v>45859</v>
      </c>
      <c r="D431" t="s">
        <v>68</v>
      </c>
      <c r="E431" s="2">
        <v>6073.11</v>
      </c>
    </row>
    <row r="432" spans="1:5" x14ac:dyDescent="0.25">
      <c r="A432" t="s">
        <v>643</v>
      </c>
      <c r="B432" t="s">
        <v>144</v>
      </c>
      <c r="C432" s="1">
        <v>45986</v>
      </c>
      <c r="D432" t="s">
        <v>63</v>
      </c>
      <c r="E432" s="2">
        <v>7243.19</v>
      </c>
    </row>
    <row r="433" spans="1:5" x14ac:dyDescent="0.25">
      <c r="A433" t="s">
        <v>644</v>
      </c>
      <c r="B433" t="s">
        <v>286</v>
      </c>
      <c r="C433" s="1">
        <v>45944</v>
      </c>
      <c r="D433" t="s">
        <v>68</v>
      </c>
      <c r="E433" s="2">
        <v>3701.91</v>
      </c>
    </row>
    <row r="434" spans="1:5" x14ac:dyDescent="0.25">
      <c r="A434" t="s">
        <v>645</v>
      </c>
      <c r="B434" t="s">
        <v>350</v>
      </c>
      <c r="C434" s="1">
        <v>45389</v>
      </c>
      <c r="D434" t="s">
        <v>27</v>
      </c>
      <c r="E434" s="2">
        <v>3454.02</v>
      </c>
    </row>
    <row r="435" spans="1:5" x14ac:dyDescent="0.25">
      <c r="A435" t="s">
        <v>646</v>
      </c>
      <c r="B435" t="s">
        <v>54</v>
      </c>
      <c r="C435" s="1">
        <v>45895</v>
      </c>
      <c r="D435" t="s">
        <v>27</v>
      </c>
      <c r="E435" s="2">
        <v>9246.3799999999992</v>
      </c>
    </row>
    <row r="436" spans="1:5" x14ac:dyDescent="0.25">
      <c r="A436" t="s">
        <v>647</v>
      </c>
      <c r="B436" t="s">
        <v>275</v>
      </c>
      <c r="C436" s="1">
        <v>45943</v>
      </c>
      <c r="D436" t="s">
        <v>16</v>
      </c>
      <c r="E436" s="2">
        <v>7933.95</v>
      </c>
    </row>
    <row r="437" spans="1:5" x14ac:dyDescent="0.25">
      <c r="A437" t="s">
        <v>648</v>
      </c>
      <c r="B437" t="s">
        <v>500</v>
      </c>
      <c r="C437" s="1">
        <v>45839</v>
      </c>
      <c r="D437" t="s">
        <v>27</v>
      </c>
      <c r="E437" s="2">
        <v>9051.0499999999993</v>
      </c>
    </row>
    <row r="438" spans="1:5" x14ac:dyDescent="0.25">
      <c r="A438" t="s">
        <v>649</v>
      </c>
      <c r="B438" t="s">
        <v>156</v>
      </c>
      <c r="C438" s="1">
        <v>45553</v>
      </c>
      <c r="D438" t="s">
        <v>63</v>
      </c>
      <c r="E438" s="2">
        <v>3500.57</v>
      </c>
    </row>
    <row r="439" spans="1:5" x14ac:dyDescent="0.25">
      <c r="A439" t="s">
        <v>650</v>
      </c>
      <c r="B439" t="s">
        <v>238</v>
      </c>
      <c r="C439" s="1">
        <v>45622</v>
      </c>
      <c r="D439" t="s">
        <v>34</v>
      </c>
      <c r="E439" s="2">
        <v>5410.33</v>
      </c>
    </row>
    <row r="440" spans="1:5" x14ac:dyDescent="0.25">
      <c r="A440" t="s">
        <v>651</v>
      </c>
      <c r="B440" t="s">
        <v>110</v>
      </c>
      <c r="C440" s="1">
        <v>45850</v>
      </c>
      <c r="D440" t="s">
        <v>63</v>
      </c>
      <c r="E440" s="2">
        <v>6300.62</v>
      </c>
    </row>
    <row r="441" spans="1:5" x14ac:dyDescent="0.25">
      <c r="A441" t="s">
        <v>652</v>
      </c>
      <c r="B441" t="s">
        <v>556</v>
      </c>
      <c r="C441" s="1">
        <v>45389</v>
      </c>
      <c r="D441" t="s">
        <v>68</v>
      </c>
      <c r="E441" s="2">
        <v>7129.9</v>
      </c>
    </row>
    <row r="442" spans="1:5" x14ac:dyDescent="0.25">
      <c r="A442" t="s">
        <v>653</v>
      </c>
      <c r="B442" t="s">
        <v>654</v>
      </c>
      <c r="C442" s="1">
        <v>45858</v>
      </c>
      <c r="D442" t="s">
        <v>27</v>
      </c>
      <c r="E442" s="2">
        <v>383</v>
      </c>
    </row>
    <row r="443" spans="1:5" x14ac:dyDescent="0.25">
      <c r="A443" t="s">
        <v>655</v>
      </c>
      <c r="B443" t="s">
        <v>218</v>
      </c>
      <c r="C443" s="1">
        <v>45999</v>
      </c>
      <c r="D443" t="s">
        <v>10</v>
      </c>
      <c r="E443" s="2">
        <v>1701.06</v>
      </c>
    </row>
    <row r="444" spans="1:5" x14ac:dyDescent="0.25">
      <c r="A444" t="s">
        <v>656</v>
      </c>
      <c r="B444" t="s">
        <v>172</v>
      </c>
      <c r="C444" s="1">
        <v>45318</v>
      </c>
      <c r="D444" t="s">
        <v>68</v>
      </c>
      <c r="E444" s="2">
        <v>3089.16</v>
      </c>
    </row>
    <row r="445" spans="1:5" x14ac:dyDescent="0.25">
      <c r="A445" t="s">
        <v>657</v>
      </c>
      <c r="B445" t="s">
        <v>266</v>
      </c>
      <c r="C445" s="1">
        <v>45823</v>
      </c>
      <c r="D445" t="s">
        <v>7</v>
      </c>
      <c r="E445" s="2">
        <v>9179.75</v>
      </c>
    </row>
    <row r="446" spans="1:5" x14ac:dyDescent="0.25">
      <c r="A446" t="s">
        <v>658</v>
      </c>
      <c r="B446" t="s">
        <v>291</v>
      </c>
      <c r="C446" s="1">
        <v>45456</v>
      </c>
      <c r="D446" t="s">
        <v>68</v>
      </c>
      <c r="E446" s="2">
        <v>1745.78</v>
      </c>
    </row>
    <row r="447" spans="1:5" x14ac:dyDescent="0.25">
      <c r="A447" t="s">
        <v>659</v>
      </c>
      <c r="B447" t="s">
        <v>561</v>
      </c>
      <c r="C447" s="1">
        <v>45366</v>
      </c>
      <c r="D447" t="s">
        <v>13</v>
      </c>
      <c r="E447" s="2">
        <v>8402.93</v>
      </c>
    </row>
    <row r="448" spans="1:5" x14ac:dyDescent="0.25">
      <c r="A448" t="s">
        <v>660</v>
      </c>
      <c r="B448" t="s">
        <v>599</v>
      </c>
      <c r="C448" s="1">
        <v>45740</v>
      </c>
      <c r="D448" t="s">
        <v>27</v>
      </c>
      <c r="E448" s="2">
        <v>9992.76</v>
      </c>
    </row>
    <row r="449" spans="1:5" x14ac:dyDescent="0.25">
      <c r="A449" t="s">
        <v>661</v>
      </c>
      <c r="B449" t="s">
        <v>662</v>
      </c>
      <c r="C449" s="1">
        <v>45925</v>
      </c>
      <c r="D449" t="s">
        <v>63</v>
      </c>
      <c r="E449" s="2">
        <v>6201.41</v>
      </c>
    </row>
    <row r="450" spans="1:5" x14ac:dyDescent="0.25">
      <c r="A450" t="s">
        <v>663</v>
      </c>
      <c r="B450" t="s">
        <v>48</v>
      </c>
      <c r="C450" s="1">
        <v>45825</v>
      </c>
      <c r="D450" t="s">
        <v>63</v>
      </c>
      <c r="E450" s="2">
        <v>1347.55</v>
      </c>
    </row>
    <row r="451" spans="1:5" x14ac:dyDescent="0.25">
      <c r="A451" t="s">
        <v>664</v>
      </c>
      <c r="B451" t="s">
        <v>282</v>
      </c>
      <c r="C451" s="1">
        <v>45464</v>
      </c>
      <c r="D451" t="s">
        <v>13</v>
      </c>
      <c r="E451" s="2">
        <v>9935.58</v>
      </c>
    </row>
    <row r="452" spans="1:5" x14ac:dyDescent="0.25">
      <c r="A452" t="s">
        <v>665</v>
      </c>
      <c r="B452" t="s">
        <v>70</v>
      </c>
      <c r="C452" s="1">
        <v>45383</v>
      </c>
      <c r="D452" t="s">
        <v>16</v>
      </c>
      <c r="E452" s="2">
        <v>3375.18</v>
      </c>
    </row>
    <row r="453" spans="1:5" x14ac:dyDescent="0.25">
      <c r="A453" t="s">
        <v>666</v>
      </c>
      <c r="B453" t="s">
        <v>140</v>
      </c>
      <c r="C453" s="1">
        <v>45668</v>
      </c>
      <c r="D453" t="s">
        <v>10</v>
      </c>
      <c r="E453" s="2">
        <v>5830.99</v>
      </c>
    </row>
    <row r="454" spans="1:5" x14ac:dyDescent="0.25">
      <c r="A454" t="s">
        <v>667</v>
      </c>
      <c r="B454" t="s">
        <v>668</v>
      </c>
      <c r="C454" s="1">
        <v>45297</v>
      </c>
      <c r="D454" t="s">
        <v>27</v>
      </c>
      <c r="E454" s="2">
        <v>2454.1799999999998</v>
      </c>
    </row>
    <row r="455" spans="1:5" x14ac:dyDescent="0.25">
      <c r="A455" t="s">
        <v>669</v>
      </c>
      <c r="B455" t="s">
        <v>40</v>
      </c>
      <c r="C455" s="1">
        <v>45341</v>
      </c>
      <c r="D455" t="s">
        <v>13</v>
      </c>
      <c r="E455" s="2">
        <v>6187.24</v>
      </c>
    </row>
    <row r="456" spans="1:5" x14ac:dyDescent="0.25">
      <c r="A456" t="s">
        <v>670</v>
      </c>
      <c r="B456" t="s">
        <v>619</v>
      </c>
      <c r="C456" s="1">
        <v>45549</v>
      </c>
      <c r="D456" t="s">
        <v>7</v>
      </c>
      <c r="E456" s="2">
        <v>6729.4</v>
      </c>
    </row>
    <row r="457" spans="1:5" x14ac:dyDescent="0.25">
      <c r="A457" t="s">
        <v>671</v>
      </c>
      <c r="B457" t="s">
        <v>542</v>
      </c>
      <c r="C457" s="1">
        <v>45770</v>
      </c>
      <c r="D457" t="s">
        <v>68</v>
      </c>
      <c r="E457" s="2">
        <v>4252.43</v>
      </c>
    </row>
    <row r="458" spans="1:5" x14ac:dyDescent="0.25">
      <c r="A458" t="s">
        <v>672</v>
      </c>
      <c r="B458" t="s">
        <v>556</v>
      </c>
      <c r="C458" s="1">
        <v>45834</v>
      </c>
      <c r="D458" t="s">
        <v>68</v>
      </c>
      <c r="E458" s="2">
        <v>3730.46</v>
      </c>
    </row>
    <row r="459" spans="1:5" x14ac:dyDescent="0.25">
      <c r="A459" t="s">
        <v>673</v>
      </c>
      <c r="B459" t="s">
        <v>486</v>
      </c>
      <c r="C459" s="1">
        <v>45709</v>
      </c>
      <c r="D459" t="s">
        <v>13</v>
      </c>
      <c r="E459" s="2">
        <v>8650.11</v>
      </c>
    </row>
    <row r="460" spans="1:5" x14ac:dyDescent="0.25">
      <c r="A460" t="s">
        <v>674</v>
      </c>
      <c r="B460" t="s">
        <v>324</v>
      </c>
      <c r="C460" s="1">
        <v>45313</v>
      </c>
      <c r="D460" t="s">
        <v>27</v>
      </c>
      <c r="E460" s="2">
        <v>3877.5</v>
      </c>
    </row>
    <row r="461" spans="1:5" x14ac:dyDescent="0.25">
      <c r="A461" t="s">
        <v>675</v>
      </c>
      <c r="B461" t="s">
        <v>201</v>
      </c>
      <c r="C461" s="1">
        <v>45778</v>
      </c>
      <c r="D461" t="s">
        <v>34</v>
      </c>
      <c r="E461" s="2">
        <v>5336.1</v>
      </c>
    </row>
    <row r="462" spans="1:5" x14ac:dyDescent="0.25">
      <c r="A462" t="s">
        <v>676</v>
      </c>
      <c r="B462" t="s">
        <v>174</v>
      </c>
      <c r="C462" s="1">
        <v>45545</v>
      </c>
      <c r="D462" t="s">
        <v>34</v>
      </c>
      <c r="E462" s="2">
        <v>2337.1999999999998</v>
      </c>
    </row>
    <row r="463" spans="1:5" x14ac:dyDescent="0.25">
      <c r="A463" t="s">
        <v>677</v>
      </c>
      <c r="B463" t="s">
        <v>52</v>
      </c>
      <c r="C463" s="1">
        <v>45997</v>
      </c>
      <c r="D463" t="s">
        <v>13</v>
      </c>
      <c r="E463" s="2">
        <v>5580.05</v>
      </c>
    </row>
    <row r="464" spans="1:5" x14ac:dyDescent="0.25">
      <c r="A464" t="s">
        <v>678</v>
      </c>
      <c r="B464" t="s">
        <v>174</v>
      </c>
      <c r="C464" s="1">
        <v>45879</v>
      </c>
      <c r="D464" t="s">
        <v>68</v>
      </c>
      <c r="E464" s="2">
        <v>3193.9</v>
      </c>
    </row>
    <row r="465" spans="1:5" x14ac:dyDescent="0.25">
      <c r="A465" t="s">
        <v>679</v>
      </c>
      <c r="B465" t="s">
        <v>680</v>
      </c>
      <c r="C465" s="1">
        <v>45547</v>
      </c>
      <c r="D465" t="s">
        <v>16</v>
      </c>
      <c r="E465" s="2">
        <v>8873.14</v>
      </c>
    </row>
    <row r="466" spans="1:5" x14ac:dyDescent="0.25">
      <c r="A466" t="s">
        <v>681</v>
      </c>
      <c r="B466" t="s">
        <v>205</v>
      </c>
      <c r="C466" s="1">
        <v>45916</v>
      </c>
      <c r="D466" t="s">
        <v>16</v>
      </c>
      <c r="E466" s="2">
        <v>2506.37</v>
      </c>
    </row>
    <row r="467" spans="1:5" x14ac:dyDescent="0.25">
      <c r="A467" t="s">
        <v>682</v>
      </c>
      <c r="B467" t="s">
        <v>255</v>
      </c>
      <c r="C467" s="1">
        <v>45524</v>
      </c>
      <c r="D467" t="s">
        <v>10</v>
      </c>
      <c r="E467" s="2">
        <v>4069.92</v>
      </c>
    </row>
    <row r="468" spans="1:5" x14ac:dyDescent="0.25">
      <c r="A468" t="s">
        <v>683</v>
      </c>
      <c r="B468" t="s">
        <v>455</v>
      </c>
      <c r="C468" s="1">
        <v>45522</v>
      </c>
      <c r="D468" t="s">
        <v>68</v>
      </c>
      <c r="E468" s="2">
        <v>1366.71</v>
      </c>
    </row>
    <row r="469" spans="1:5" x14ac:dyDescent="0.25">
      <c r="A469" t="s">
        <v>684</v>
      </c>
      <c r="B469" t="s">
        <v>24</v>
      </c>
      <c r="C469" s="1">
        <v>45649</v>
      </c>
      <c r="D469" t="s">
        <v>16</v>
      </c>
      <c r="E469" s="2">
        <v>2694.65</v>
      </c>
    </row>
    <row r="470" spans="1:5" x14ac:dyDescent="0.25">
      <c r="A470" t="s">
        <v>685</v>
      </c>
      <c r="B470" t="s">
        <v>120</v>
      </c>
      <c r="C470" s="1">
        <v>45986</v>
      </c>
      <c r="D470" t="s">
        <v>63</v>
      </c>
      <c r="E470" s="2">
        <v>3754.22</v>
      </c>
    </row>
    <row r="471" spans="1:5" x14ac:dyDescent="0.25">
      <c r="A471" t="s">
        <v>686</v>
      </c>
      <c r="B471" t="s">
        <v>110</v>
      </c>
      <c r="C471" s="1">
        <v>45774</v>
      </c>
      <c r="D471" t="s">
        <v>68</v>
      </c>
      <c r="E471" s="2">
        <v>6583.29</v>
      </c>
    </row>
    <row r="472" spans="1:5" x14ac:dyDescent="0.25">
      <c r="A472" t="s">
        <v>687</v>
      </c>
      <c r="B472" t="s">
        <v>375</v>
      </c>
      <c r="C472" s="1">
        <v>45384</v>
      </c>
      <c r="D472" t="s">
        <v>68</v>
      </c>
      <c r="E472" s="2">
        <v>5574.08</v>
      </c>
    </row>
    <row r="473" spans="1:5" x14ac:dyDescent="0.25">
      <c r="A473" t="s">
        <v>688</v>
      </c>
      <c r="B473" t="s">
        <v>168</v>
      </c>
      <c r="C473" s="1">
        <v>45993</v>
      </c>
      <c r="D473" t="s">
        <v>27</v>
      </c>
      <c r="E473" s="2">
        <v>9447.1299999999992</v>
      </c>
    </row>
    <row r="474" spans="1:5" x14ac:dyDescent="0.25">
      <c r="A474" t="s">
        <v>689</v>
      </c>
      <c r="B474" t="s">
        <v>690</v>
      </c>
      <c r="C474" s="1">
        <v>45428</v>
      </c>
      <c r="D474" t="s">
        <v>7</v>
      </c>
      <c r="E474" s="2">
        <v>9972.2999999999993</v>
      </c>
    </row>
    <row r="475" spans="1:5" x14ac:dyDescent="0.25">
      <c r="A475" t="s">
        <v>691</v>
      </c>
      <c r="B475" t="s">
        <v>692</v>
      </c>
      <c r="C475" s="1">
        <v>45651</v>
      </c>
      <c r="D475" t="s">
        <v>13</v>
      </c>
      <c r="E475" s="2">
        <v>3321.8</v>
      </c>
    </row>
    <row r="476" spans="1:5" x14ac:dyDescent="0.25">
      <c r="A476" t="s">
        <v>693</v>
      </c>
      <c r="B476" t="s">
        <v>654</v>
      </c>
      <c r="C476" s="1">
        <v>45590</v>
      </c>
      <c r="D476" t="s">
        <v>63</v>
      </c>
      <c r="E476" s="2">
        <v>6660.67</v>
      </c>
    </row>
    <row r="477" spans="1:5" x14ac:dyDescent="0.25">
      <c r="A477" t="s">
        <v>694</v>
      </c>
      <c r="B477" t="s">
        <v>87</v>
      </c>
      <c r="C477" s="1">
        <v>45889</v>
      </c>
      <c r="D477" t="s">
        <v>7</v>
      </c>
      <c r="E477" s="2">
        <v>2783.23</v>
      </c>
    </row>
    <row r="478" spans="1:5" x14ac:dyDescent="0.25">
      <c r="A478" t="s">
        <v>695</v>
      </c>
      <c r="B478" t="s">
        <v>168</v>
      </c>
      <c r="C478" s="1">
        <v>45341</v>
      </c>
      <c r="D478" t="s">
        <v>10</v>
      </c>
      <c r="E478" s="2">
        <v>6460.26</v>
      </c>
    </row>
    <row r="479" spans="1:5" x14ac:dyDescent="0.25">
      <c r="A479" t="s">
        <v>696</v>
      </c>
      <c r="B479" t="s">
        <v>80</v>
      </c>
      <c r="C479" s="1">
        <v>45711</v>
      </c>
      <c r="D479" t="s">
        <v>10</v>
      </c>
      <c r="E479" s="2">
        <v>4967.42</v>
      </c>
    </row>
    <row r="480" spans="1:5" x14ac:dyDescent="0.25">
      <c r="A480" t="s">
        <v>697</v>
      </c>
      <c r="B480" t="s">
        <v>587</v>
      </c>
      <c r="C480" s="1">
        <v>45886</v>
      </c>
      <c r="D480" t="s">
        <v>13</v>
      </c>
      <c r="E480" s="2">
        <v>9936.27</v>
      </c>
    </row>
    <row r="481" spans="1:5" x14ac:dyDescent="0.25">
      <c r="A481" t="s">
        <v>698</v>
      </c>
      <c r="B481" t="s">
        <v>137</v>
      </c>
      <c r="C481" s="1">
        <v>46019</v>
      </c>
      <c r="D481" t="s">
        <v>63</v>
      </c>
      <c r="E481" s="2">
        <v>8593.58</v>
      </c>
    </row>
    <row r="482" spans="1:5" x14ac:dyDescent="0.25">
      <c r="A482" t="s">
        <v>699</v>
      </c>
      <c r="B482" t="s">
        <v>619</v>
      </c>
      <c r="C482" s="1">
        <v>45652</v>
      </c>
      <c r="D482" t="s">
        <v>68</v>
      </c>
      <c r="E482" s="2">
        <v>9440.7000000000007</v>
      </c>
    </row>
    <row r="483" spans="1:5" x14ac:dyDescent="0.25">
      <c r="A483" t="s">
        <v>700</v>
      </c>
      <c r="B483" t="s">
        <v>503</v>
      </c>
      <c r="C483" s="1">
        <v>45881</v>
      </c>
      <c r="D483" t="s">
        <v>27</v>
      </c>
      <c r="E483" s="2">
        <v>3462.79</v>
      </c>
    </row>
    <row r="484" spans="1:5" x14ac:dyDescent="0.25">
      <c r="A484" t="s">
        <v>701</v>
      </c>
      <c r="B484" t="s">
        <v>416</v>
      </c>
      <c r="C484" s="1">
        <v>45872</v>
      </c>
      <c r="D484" t="s">
        <v>63</v>
      </c>
      <c r="E484" s="2">
        <v>1508.59</v>
      </c>
    </row>
    <row r="485" spans="1:5" x14ac:dyDescent="0.25">
      <c r="A485" t="s">
        <v>702</v>
      </c>
      <c r="B485" t="s">
        <v>233</v>
      </c>
      <c r="C485" s="1">
        <v>45843</v>
      </c>
      <c r="D485" t="s">
        <v>63</v>
      </c>
      <c r="E485" s="2">
        <v>2128.27</v>
      </c>
    </row>
    <row r="486" spans="1:5" x14ac:dyDescent="0.25">
      <c r="A486" t="s">
        <v>703</v>
      </c>
      <c r="B486" t="s">
        <v>156</v>
      </c>
      <c r="C486" s="1">
        <v>45332</v>
      </c>
      <c r="D486" t="s">
        <v>10</v>
      </c>
      <c r="E486" s="2">
        <v>2922.71</v>
      </c>
    </row>
    <row r="487" spans="1:5" x14ac:dyDescent="0.25">
      <c r="A487" t="s">
        <v>704</v>
      </c>
      <c r="B487" t="s">
        <v>293</v>
      </c>
      <c r="C487" s="1">
        <v>45563</v>
      </c>
      <c r="D487" t="s">
        <v>13</v>
      </c>
      <c r="E487" s="2">
        <v>2227.6</v>
      </c>
    </row>
    <row r="488" spans="1:5" x14ac:dyDescent="0.25">
      <c r="A488" t="s">
        <v>705</v>
      </c>
      <c r="B488" t="s">
        <v>248</v>
      </c>
      <c r="C488" s="1">
        <v>45406</v>
      </c>
      <c r="D488" t="s">
        <v>27</v>
      </c>
      <c r="E488" s="2">
        <v>1921.05</v>
      </c>
    </row>
    <row r="489" spans="1:5" x14ac:dyDescent="0.25">
      <c r="A489" t="s">
        <v>706</v>
      </c>
      <c r="B489" t="s">
        <v>707</v>
      </c>
      <c r="C489" s="1">
        <v>45795</v>
      </c>
      <c r="D489" t="s">
        <v>27</v>
      </c>
      <c r="E489" s="2">
        <v>7918.36</v>
      </c>
    </row>
    <row r="490" spans="1:5" x14ac:dyDescent="0.25">
      <c r="A490" t="s">
        <v>708</v>
      </c>
      <c r="B490" t="s">
        <v>72</v>
      </c>
      <c r="C490" s="1">
        <v>45566</v>
      </c>
      <c r="D490" t="s">
        <v>10</v>
      </c>
      <c r="E490" s="2">
        <v>5097.51</v>
      </c>
    </row>
    <row r="491" spans="1:5" x14ac:dyDescent="0.25">
      <c r="A491" t="s">
        <v>709</v>
      </c>
      <c r="B491" t="s">
        <v>464</v>
      </c>
      <c r="C491" s="1">
        <v>45997</v>
      </c>
      <c r="D491" t="s">
        <v>13</v>
      </c>
      <c r="E491" s="2">
        <v>7341.75</v>
      </c>
    </row>
    <row r="492" spans="1:5" x14ac:dyDescent="0.25">
      <c r="A492" t="s">
        <v>710</v>
      </c>
      <c r="B492" t="s">
        <v>711</v>
      </c>
      <c r="C492" s="1">
        <v>45388</v>
      </c>
      <c r="D492" t="s">
        <v>63</v>
      </c>
      <c r="E492" s="2">
        <v>7950.72</v>
      </c>
    </row>
    <row r="493" spans="1:5" x14ac:dyDescent="0.25">
      <c r="A493" t="s">
        <v>712</v>
      </c>
      <c r="B493" t="s">
        <v>713</v>
      </c>
      <c r="C493" s="1">
        <v>45551</v>
      </c>
      <c r="D493" t="s">
        <v>13</v>
      </c>
      <c r="E493" s="2">
        <v>1908.39</v>
      </c>
    </row>
    <row r="494" spans="1:5" x14ac:dyDescent="0.25">
      <c r="A494" t="s">
        <v>714</v>
      </c>
      <c r="B494" t="s">
        <v>231</v>
      </c>
      <c r="C494" s="1">
        <v>45396</v>
      </c>
      <c r="D494" t="s">
        <v>34</v>
      </c>
      <c r="E494" s="2">
        <v>8053.06</v>
      </c>
    </row>
    <row r="495" spans="1:5" x14ac:dyDescent="0.25">
      <c r="A495" t="s">
        <v>715</v>
      </c>
      <c r="B495" t="s">
        <v>716</v>
      </c>
      <c r="C495" s="1">
        <v>45928</v>
      </c>
      <c r="D495" t="s">
        <v>16</v>
      </c>
      <c r="E495" s="2">
        <v>6697.75</v>
      </c>
    </row>
    <row r="496" spans="1:5" x14ac:dyDescent="0.25">
      <c r="A496" t="s">
        <v>717</v>
      </c>
      <c r="B496" t="s">
        <v>33</v>
      </c>
      <c r="C496" s="1">
        <v>45468</v>
      </c>
      <c r="D496" t="s">
        <v>16</v>
      </c>
      <c r="E496" s="2">
        <v>1714.7</v>
      </c>
    </row>
    <row r="497" spans="1:5" x14ac:dyDescent="0.25">
      <c r="A497" t="s">
        <v>718</v>
      </c>
      <c r="B497" t="s">
        <v>347</v>
      </c>
      <c r="C497" s="1">
        <v>45776</v>
      </c>
      <c r="D497" t="s">
        <v>7</v>
      </c>
      <c r="E497" s="2">
        <v>6538.97</v>
      </c>
    </row>
    <row r="498" spans="1:5" x14ac:dyDescent="0.25">
      <c r="A498" t="s">
        <v>719</v>
      </c>
      <c r="B498" t="s">
        <v>178</v>
      </c>
      <c r="C498" s="1">
        <v>45570</v>
      </c>
      <c r="D498" t="s">
        <v>63</v>
      </c>
      <c r="E498" s="2">
        <v>1153.83</v>
      </c>
    </row>
    <row r="499" spans="1:5" x14ac:dyDescent="0.25">
      <c r="A499" t="s">
        <v>720</v>
      </c>
      <c r="B499" t="s">
        <v>337</v>
      </c>
      <c r="C499" s="1">
        <v>45434</v>
      </c>
      <c r="D499" t="s">
        <v>68</v>
      </c>
      <c r="E499" s="2">
        <v>9096.9699999999993</v>
      </c>
    </row>
    <row r="500" spans="1:5" x14ac:dyDescent="0.25">
      <c r="A500" t="s">
        <v>721</v>
      </c>
      <c r="B500" t="s">
        <v>722</v>
      </c>
      <c r="C500" s="1">
        <v>45974</v>
      </c>
      <c r="D500" t="s">
        <v>7</v>
      </c>
      <c r="E500" s="2">
        <v>3267.45</v>
      </c>
    </row>
    <row r="501" spans="1:5" x14ac:dyDescent="0.25">
      <c r="A501" t="s">
        <v>723</v>
      </c>
      <c r="B501" t="s">
        <v>94</v>
      </c>
      <c r="C501" s="1">
        <v>45890</v>
      </c>
      <c r="D501" t="s">
        <v>10</v>
      </c>
      <c r="E501" s="2">
        <v>2120.59</v>
      </c>
    </row>
    <row r="502" spans="1:5" x14ac:dyDescent="0.25">
      <c r="A502" t="s">
        <v>724</v>
      </c>
      <c r="B502" t="s">
        <v>15</v>
      </c>
      <c r="C502" s="1">
        <v>45544</v>
      </c>
      <c r="D502" t="s">
        <v>7</v>
      </c>
      <c r="E502" s="2">
        <v>9083.5300000000007</v>
      </c>
    </row>
    <row r="503" spans="1:5" x14ac:dyDescent="0.25">
      <c r="A503" t="s">
        <v>725</v>
      </c>
      <c r="B503" t="s">
        <v>98</v>
      </c>
      <c r="C503" s="1">
        <v>45374</v>
      </c>
      <c r="D503" t="s">
        <v>63</v>
      </c>
      <c r="E503" s="2">
        <v>7572.31</v>
      </c>
    </row>
    <row r="504" spans="1:5" x14ac:dyDescent="0.25">
      <c r="A504" t="s">
        <v>726</v>
      </c>
      <c r="B504" t="s">
        <v>614</v>
      </c>
      <c r="C504" s="1">
        <v>45367</v>
      </c>
      <c r="D504" t="s">
        <v>27</v>
      </c>
      <c r="E504" s="2">
        <v>7727.47</v>
      </c>
    </row>
    <row r="505" spans="1:5" x14ac:dyDescent="0.25">
      <c r="A505" t="s">
        <v>727</v>
      </c>
      <c r="B505" t="s">
        <v>268</v>
      </c>
      <c r="C505" s="1">
        <v>45786</v>
      </c>
      <c r="D505" t="s">
        <v>7</v>
      </c>
      <c r="E505" s="2">
        <v>2430.6</v>
      </c>
    </row>
    <row r="506" spans="1:5" x14ac:dyDescent="0.25">
      <c r="A506" t="s">
        <v>728</v>
      </c>
      <c r="B506" t="s">
        <v>104</v>
      </c>
      <c r="C506" s="1">
        <v>45971</v>
      </c>
      <c r="D506" t="s">
        <v>10</v>
      </c>
      <c r="E506" s="2">
        <v>9860.3700000000008</v>
      </c>
    </row>
    <row r="507" spans="1:5" x14ac:dyDescent="0.25">
      <c r="A507" t="s">
        <v>729</v>
      </c>
      <c r="B507" t="s">
        <v>100</v>
      </c>
      <c r="C507" s="1">
        <v>45919</v>
      </c>
      <c r="D507" t="s">
        <v>68</v>
      </c>
      <c r="E507" s="2">
        <v>8893.17</v>
      </c>
    </row>
    <row r="508" spans="1:5" x14ac:dyDescent="0.25">
      <c r="A508" t="s">
        <v>730</v>
      </c>
      <c r="B508" t="s">
        <v>329</v>
      </c>
      <c r="C508" s="1">
        <v>45613</v>
      </c>
      <c r="D508" t="s">
        <v>13</v>
      </c>
      <c r="E508" s="2">
        <v>8339.17</v>
      </c>
    </row>
    <row r="509" spans="1:5" x14ac:dyDescent="0.25">
      <c r="A509" t="s">
        <v>731</v>
      </c>
      <c r="B509" t="s">
        <v>347</v>
      </c>
      <c r="C509" s="1">
        <v>45743</v>
      </c>
      <c r="D509" t="s">
        <v>68</v>
      </c>
      <c r="E509" s="2">
        <v>3394.11</v>
      </c>
    </row>
    <row r="510" spans="1:5" x14ac:dyDescent="0.25">
      <c r="A510" t="s">
        <v>732</v>
      </c>
      <c r="B510" t="s">
        <v>52</v>
      </c>
      <c r="C510" s="1">
        <v>45645</v>
      </c>
      <c r="D510" t="s">
        <v>27</v>
      </c>
      <c r="E510" s="2">
        <v>6858.63</v>
      </c>
    </row>
    <row r="511" spans="1:5" x14ac:dyDescent="0.25">
      <c r="A511" t="s">
        <v>733</v>
      </c>
      <c r="B511" t="s">
        <v>559</v>
      </c>
      <c r="C511" s="1">
        <v>45438</v>
      </c>
      <c r="D511" t="s">
        <v>13</v>
      </c>
      <c r="E511" s="2">
        <v>3519.93</v>
      </c>
    </row>
    <row r="512" spans="1:5" x14ac:dyDescent="0.25">
      <c r="A512" t="s">
        <v>734</v>
      </c>
      <c r="B512" t="s">
        <v>735</v>
      </c>
      <c r="C512" s="1">
        <v>45526</v>
      </c>
      <c r="D512" t="s">
        <v>63</v>
      </c>
      <c r="E512" s="2">
        <v>9293</v>
      </c>
    </row>
    <row r="513" spans="1:5" x14ac:dyDescent="0.25">
      <c r="A513" t="s">
        <v>736</v>
      </c>
      <c r="B513" t="s">
        <v>67</v>
      </c>
      <c r="C513" s="1">
        <v>45543</v>
      </c>
      <c r="D513" t="s">
        <v>16</v>
      </c>
      <c r="E513" s="2">
        <v>1689.89</v>
      </c>
    </row>
    <row r="514" spans="1:5" x14ac:dyDescent="0.25">
      <c r="A514" t="s">
        <v>737</v>
      </c>
      <c r="B514" t="s">
        <v>469</v>
      </c>
      <c r="C514" s="1">
        <v>45939</v>
      </c>
      <c r="D514" t="s">
        <v>63</v>
      </c>
      <c r="E514" s="2">
        <v>3232.11</v>
      </c>
    </row>
    <row r="515" spans="1:5" x14ac:dyDescent="0.25">
      <c r="A515" t="s">
        <v>738</v>
      </c>
      <c r="B515" t="s">
        <v>319</v>
      </c>
      <c r="C515" s="1">
        <v>45327</v>
      </c>
      <c r="D515" t="s">
        <v>34</v>
      </c>
      <c r="E515" s="2">
        <v>8198.08</v>
      </c>
    </row>
    <row r="516" spans="1:5" x14ac:dyDescent="0.25">
      <c r="A516" t="s">
        <v>739</v>
      </c>
      <c r="B516" t="s">
        <v>467</v>
      </c>
      <c r="C516" s="1">
        <v>45643</v>
      </c>
      <c r="D516" t="s">
        <v>13</v>
      </c>
      <c r="E516" s="2">
        <v>2642.26</v>
      </c>
    </row>
    <row r="517" spans="1:5" x14ac:dyDescent="0.25">
      <c r="A517" t="s">
        <v>740</v>
      </c>
      <c r="B517" t="s">
        <v>741</v>
      </c>
      <c r="C517" s="1">
        <v>45824</v>
      </c>
      <c r="D517" t="s">
        <v>63</v>
      </c>
      <c r="E517" s="2">
        <v>7044.83</v>
      </c>
    </row>
    <row r="518" spans="1:5" x14ac:dyDescent="0.25">
      <c r="A518" t="s">
        <v>742</v>
      </c>
      <c r="B518" t="s">
        <v>713</v>
      </c>
      <c r="C518" s="1">
        <v>45583</v>
      </c>
      <c r="D518" t="s">
        <v>27</v>
      </c>
      <c r="E518" s="2">
        <v>8184.63</v>
      </c>
    </row>
    <row r="519" spans="1:5" x14ac:dyDescent="0.25">
      <c r="A519" t="s">
        <v>743</v>
      </c>
      <c r="B519" t="s">
        <v>668</v>
      </c>
      <c r="C519" s="1">
        <v>45673</v>
      </c>
      <c r="D519" t="s">
        <v>68</v>
      </c>
      <c r="E519" s="2">
        <v>1491.46</v>
      </c>
    </row>
    <row r="520" spans="1:5" x14ac:dyDescent="0.25">
      <c r="A520" t="s">
        <v>744</v>
      </c>
      <c r="B520" t="s">
        <v>156</v>
      </c>
      <c r="C520" s="1">
        <v>45669</v>
      </c>
      <c r="D520" t="s">
        <v>68</v>
      </c>
      <c r="E520" s="2">
        <v>116.41</v>
      </c>
    </row>
    <row r="521" spans="1:5" x14ac:dyDescent="0.25">
      <c r="A521" t="s">
        <v>745</v>
      </c>
      <c r="B521" t="s">
        <v>350</v>
      </c>
      <c r="C521" s="1">
        <v>45838</v>
      </c>
      <c r="D521" t="s">
        <v>27</v>
      </c>
      <c r="E521" s="2">
        <v>7506.67</v>
      </c>
    </row>
    <row r="522" spans="1:5" x14ac:dyDescent="0.25">
      <c r="A522" t="s">
        <v>746</v>
      </c>
      <c r="B522" t="s">
        <v>446</v>
      </c>
      <c r="C522" s="1">
        <v>45651</v>
      </c>
      <c r="D522" t="s">
        <v>16</v>
      </c>
      <c r="E522" s="2">
        <v>2176.13</v>
      </c>
    </row>
    <row r="523" spans="1:5" x14ac:dyDescent="0.25">
      <c r="A523" t="s">
        <v>747</v>
      </c>
      <c r="B523" t="s">
        <v>748</v>
      </c>
      <c r="C523" s="1">
        <v>45462</v>
      </c>
      <c r="D523" t="s">
        <v>10</v>
      </c>
      <c r="E523" s="2">
        <v>9376.43</v>
      </c>
    </row>
    <row r="524" spans="1:5" x14ac:dyDescent="0.25">
      <c r="A524" t="s">
        <v>749</v>
      </c>
      <c r="B524" t="s">
        <v>434</v>
      </c>
      <c r="C524" s="1">
        <v>45681</v>
      </c>
      <c r="D524" t="s">
        <v>10</v>
      </c>
      <c r="E524" s="2">
        <v>6420.23</v>
      </c>
    </row>
    <row r="525" spans="1:5" x14ac:dyDescent="0.25">
      <c r="A525" t="s">
        <v>750</v>
      </c>
      <c r="B525" t="s">
        <v>26</v>
      </c>
      <c r="C525" s="1">
        <v>45744</v>
      </c>
      <c r="D525" t="s">
        <v>10</v>
      </c>
      <c r="E525" s="2">
        <v>4020.3</v>
      </c>
    </row>
    <row r="526" spans="1:5" x14ac:dyDescent="0.25">
      <c r="A526" t="s">
        <v>751</v>
      </c>
      <c r="B526" t="s">
        <v>238</v>
      </c>
      <c r="C526" s="1">
        <v>45504</v>
      </c>
      <c r="D526" t="s">
        <v>7</v>
      </c>
      <c r="E526" s="2">
        <v>708.75</v>
      </c>
    </row>
    <row r="527" spans="1:5" x14ac:dyDescent="0.25">
      <c r="A527" t="s">
        <v>752</v>
      </c>
      <c r="B527" t="s">
        <v>196</v>
      </c>
      <c r="C527" s="1">
        <v>45860</v>
      </c>
      <c r="D527" t="s">
        <v>16</v>
      </c>
      <c r="E527" s="2">
        <v>4281.1899999999996</v>
      </c>
    </row>
    <row r="528" spans="1:5" x14ac:dyDescent="0.25">
      <c r="A528" t="s">
        <v>753</v>
      </c>
      <c r="B528" t="s">
        <v>716</v>
      </c>
      <c r="C528" s="1">
        <v>45507</v>
      </c>
      <c r="D528" t="s">
        <v>10</v>
      </c>
      <c r="E528" s="2">
        <v>5880.17</v>
      </c>
    </row>
    <row r="529" spans="1:5" x14ac:dyDescent="0.25">
      <c r="A529" t="s">
        <v>754</v>
      </c>
      <c r="B529" t="s">
        <v>755</v>
      </c>
      <c r="C529" s="1">
        <v>46012</v>
      </c>
      <c r="D529" t="s">
        <v>63</v>
      </c>
      <c r="E529" s="2">
        <v>3322.77</v>
      </c>
    </row>
    <row r="530" spans="1:5" x14ac:dyDescent="0.25">
      <c r="A530" t="s">
        <v>756</v>
      </c>
      <c r="B530" t="s">
        <v>324</v>
      </c>
      <c r="C530" s="1">
        <v>46010</v>
      </c>
      <c r="D530" t="s">
        <v>27</v>
      </c>
      <c r="E530" s="2">
        <v>6827.36</v>
      </c>
    </row>
    <row r="531" spans="1:5" x14ac:dyDescent="0.25">
      <c r="A531" t="s">
        <v>757</v>
      </c>
      <c r="B531" t="s">
        <v>54</v>
      </c>
      <c r="C531" s="1">
        <v>46009</v>
      </c>
      <c r="D531" t="s">
        <v>27</v>
      </c>
      <c r="E531" s="2">
        <v>4018.34</v>
      </c>
    </row>
    <row r="532" spans="1:5" x14ac:dyDescent="0.25">
      <c r="A532" t="s">
        <v>758</v>
      </c>
      <c r="B532" t="s">
        <v>392</v>
      </c>
      <c r="C532" s="1">
        <v>45501</v>
      </c>
      <c r="D532" t="s">
        <v>63</v>
      </c>
      <c r="E532" s="2">
        <v>6651.39</v>
      </c>
    </row>
    <row r="533" spans="1:5" x14ac:dyDescent="0.25">
      <c r="A533" t="s">
        <v>759</v>
      </c>
      <c r="B533" t="s">
        <v>760</v>
      </c>
      <c r="C533" s="1">
        <v>45881</v>
      </c>
      <c r="D533" t="s">
        <v>68</v>
      </c>
      <c r="E533" s="2">
        <v>3969.21</v>
      </c>
    </row>
    <row r="534" spans="1:5" x14ac:dyDescent="0.25">
      <c r="A534" t="s">
        <v>761</v>
      </c>
      <c r="B534" t="s">
        <v>15</v>
      </c>
      <c r="C534" s="1">
        <v>45812</v>
      </c>
      <c r="D534" t="s">
        <v>63</v>
      </c>
      <c r="E534" s="2">
        <v>7866.91</v>
      </c>
    </row>
    <row r="535" spans="1:5" x14ac:dyDescent="0.25">
      <c r="A535" t="s">
        <v>762</v>
      </c>
      <c r="B535" t="s">
        <v>455</v>
      </c>
      <c r="C535" s="1">
        <v>45985</v>
      </c>
      <c r="D535" t="s">
        <v>13</v>
      </c>
      <c r="E535" s="2">
        <v>6986.8</v>
      </c>
    </row>
    <row r="536" spans="1:5" x14ac:dyDescent="0.25">
      <c r="A536" t="s">
        <v>763</v>
      </c>
      <c r="B536" t="s">
        <v>198</v>
      </c>
      <c r="C536" s="1">
        <v>45519</v>
      </c>
      <c r="D536" t="s">
        <v>63</v>
      </c>
      <c r="E536" s="2">
        <v>6950.48</v>
      </c>
    </row>
    <row r="537" spans="1:5" x14ac:dyDescent="0.25">
      <c r="A537" t="s">
        <v>764</v>
      </c>
      <c r="B537" t="s">
        <v>437</v>
      </c>
      <c r="C537" s="1">
        <v>45869</v>
      </c>
      <c r="D537" t="s">
        <v>68</v>
      </c>
      <c r="E537" s="2">
        <v>6582.32</v>
      </c>
    </row>
    <row r="538" spans="1:5" x14ac:dyDescent="0.25">
      <c r="A538" t="s">
        <v>765</v>
      </c>
      <c r="B538" t="s">
        <v>110</v>
      </c>
      <c r="C538" s="1">
        <v>45558</v>
      </c>
      <c r="D538" t="s">
        <v>16</v>
      </c>
      <c r="E538" s="2">
        <v>3642.61</v>
      </c>
    </row>
    <row r="539" spans="1:5" x14ac:dyDescent="0.25">
      <c r="A539" t="s">
        <v>766</v>
      </c>
      <c r="B539" t="s">
        <v>767</v>
      </c>
      <c r="C539" s="1">
        <v>45780</v>
      </c>
      <c r="D539" t="s">
        <v>27</v>
      </c>
      <c r="E539" s="2">
        <v>998.77</v>
      </c>
    </row>
    <row r="540" spans="1:5" x14ac:dyDescent="0.25">
      <c r="A540" t="s">
        <v>768</v>
      </c>
      <c r="B540" t="s">
        <v>42</v>
      </c>
      <c r="C540" s="1">
        <v>45518</v>
      </c>
      <c r="D540" t="s">
        <v>13</v>
      </c>
      <c r="E540" s="2">
        <v>5290.47</v>
      </c>
    </row>
    <row r="541" spans="1:5" x14ac:dyDescent="0.25">
      <c r="A541" t="s">
        <v>769</v>
      </c>
      <c r="B541" t="s">
        <v>371</v>
      </c>
      <c r="C541" s="1">
        <v>45849</v>
      </c>
      <c r="D541" t="s">
        <v>34</v>
      </c>
      <c r="E541" s="2">
        <v>7998.91</v>
      </c>
    </row>
    <row r="542" spans="1:5" x14ac:dyDescent="0.25">
      <c r="A542" t="s">
        <v>770</v>
      </c>
      <c r="B542" t="s">
        <v>377</v>
      </c>
      <c r="C542" s="1">
        <v>45734</v>
      </c>
      <c r="D542" t="s">
        <v>68</v>
      </c>
      <c r="E542" s="2">
        <v>1458.05</v>
      </c>
    </row>
    <row r="543" spans="1:5" x14ac:dyDescent="0.25">
      <c r="A543" t="s">
        <v>771</v>
      </c>
      <c r="B543" t="s">
        <v>483</v>
      </c>
      <c r="C543" s="1">
        <v>45454</v>
      </c>
      <c r="D543" t="s">
        <v>63</v>
      </c>
      <c r="E543" s="2">
        <v>9849.35</v>
      </c>
    </row>
    <row r="544" spans="1:5" x14ac:dyDescent="0.25">
      <c r="A544" t="s">
        <v>772</v>
      </c>
      <c r="B544" t="s">
        <v>537</v>
      </c>
      <c r="C544" s="1">
        <v>45468</v>
      </c>
      <c r="D544" t="s">
        <v>10</v>
      </c>
      <c r="E544" s="2">
        <v>9030.5499999999993</v>
      </c>
    </row>
    <row r="545" spans="1:5" x14ac:dyDescent="0.25">
      <c r="A545" t="s">
        <v>773</v>
      </c>
      <c r="B545" t="s">
        <v>774</v>
      </c>
      <c r="C545" s="1">
        <v>45553</v>
      </c>
      <c r="D545" t="s">
        <v>7</v>
      </c>
      <c r="E545" s="2">
        <v>6166.44</v>
      </c>
    </row>
    <row r="546" spans="1:5" x14ac:dyDescent="0.25">
      <c r="A546" t="s">
        <v>775</v>
      </c>
      <c r="B546" t="s">
        <v>58</v>
      </c>
      <c r="C546" s="1">
        <v>45895</v>
      </c>
      <c r="D546" t="s">
        <v>7</v>
      </c>
      <c r="E546" s="2">
        <v>1123.8800000000001</v>
      </c>
    </row>
    <row r="547" spans="1:5" x14ac:dyDescent="0.25">
      <c r="A547" t="s">
        <v>776</v>
      </c>
      <c r="B547" t="s">
        <v>189</v>
      </c>
      <c r="C547" s="1">
        <v>45441</v>
      </c>
      <c r="D547" t="s">
        <v>13</v>
      </c>
      <c r="E547" s="2">
        <v>8819.84</v>
      </c>
    </row>
    <row r="548" spans="1:5" x14ac:dyDescent="0.25">
      <c r="A548" t="s">
        <v>777</v>
      </c>
      <c r="B548" t="s">
        <v>50</v>
      </c>
      <c r="C548" s="1">
        <v>45671</v>
      </c>
      <c r="D548" t="s">
        <v>7</v>
      </c>
      <c r="E548" s="2">
        <v>6316.06</v>
      </c>
    </row>
    <row r="549" spans="1:5" x14ac:dyDescent="0.25">
      <c r="A549" t="s">
        <v>778</v>
      </c>
      <c r="B549" t="s">
        <v>83</v>
      </c>
      <c r="C549" s="1">
        <v>45956</v>
      </c>
      <c r="D549" t="s">
        <v>27</v>
      </c>
      <c r="E549" s="2">
        <v>8055.79</v>
      </c>
    </row>
    <row r="550" spans="1:5" x14ac:dyDescent="0.25">
      <c r="A550" t="s">
        <v>779</v>
      </c>
      <c r="B550" t="s">
        <v>357</v>
      </c>
      <c r="C550" s="1">
        <v>45771</v>
      </c>
      <c r="D550" t="s">
        <v>34</v>
      </c>
      <c r="E550" s="2">
        <v>2407.17</v>
      </c>
    </row>
    <row r="551" spans="1:5" x14ac:dyDescent="0.25">
      <c r="A551" t="s">
        <v>780</v>
      </c>
      <c r="B551" t="s">
        <v>54</v>
      </c>
      <c r="C551" s="1">
        <v>45324</v>
      </c>
      <c r="D551" t="s">
        <v>7</v>
      </c>
      <c r="E551" s="2">
        <v>4146.6499999999996</v>
      </c>
    </row>
    <row r="552" spans="1:5" x14ac:dyDescent="0.25">
      <c r="A552" t="s">
        <v>781</v>
      </c>
      <c r="B552" t="s">
        <v>78</v>
      </c>
      <c r="C552" s="1">
        <v>45311</v>
      </c>
      <c r="D552" t="s">
        <v>68</v>
      </c>
      <c r="E552" s="2">
        <v>639.95000000000005</v>
      </c>
    </row>
    <row r="553" spans="1:5" x14ac:dyDescent="0.25">
      <c r="A553" t="s">
        <v>782</v>
      </c>
      <c r="B553" t="s">
        <v>337</v>
      </c>
      <c r="C553" s="1">
        <v>45585</v>
      </c>
      <c r="D553" t="s">
        <v>34</v>
      </c>
      <c r="E553" s="2">
        <v>6199.34</v>
      </c>
    </row>
    <row r="554" spans="1:5" x14ac:dyDescent="0.25">
      <c r="A554" t="s">
        <v>783</v>
      </c>
      <c r="B554" t="s">
        <v>203</v>
      </c>
      <c r="C554" s="1">
        <v>46002</v>
      </c>
      <c r="D554" t="s">
        <v>10</v>
      </c>
      <c r="E554" s="2">
        <v>2341.52</v>
      </c>
    </row>
    <row r="555" spans="1:5" x14ac:dyDescent="0.25">
      <c r="A555" t="s">
        <v>784</v>
      </c>
      <c r="B555" t="s">
        <v>324</v>
      </c>
      <c r="C555" s="1">
        <v>45559</v>
      </c>
      <c r="D555" t="s">
        <v>13</v>
      </c>
      <c r="E555" s="2">
        <v>7357.41</v>
      </c>
    </row>
    <row r="556" spans="1:5" x14ac:dyDescent="0.25">
      <c r="A556" t="s">
        <v>785</v>
      </c>
      <c r="B556" t="s">
        <v>786</v>
      </c>
      <c r="C556" s="1">
        <v>45323</v>
      </c>
      <c r="D556" t="s">
        <v>13</v>
      </c>
      <c r="E556" s="2">
        <v>5524.27</v>
      </c>
    </row>
    <row r="557" spans="1:5" x14ac:dyDescent="0.25">
      <c r="A557" t="s">
        <v>787</v>
      </c>
      <c r="B557" t="s">
        <v>788</v>
      </c>
      <c r="C557" s="1">
        <v>45718</v>
      </c>
      <c r="D557" t="s">
        <v>68</v>
      </c>
      <c r="E557" s="2">
        <v>5200.74</v>
      </c>
    </row>
    <row r="558" spans="1:5" x14ac:dyDescent="0.25">
      <c r="A558" t="s">
        <v>789</v>
      </c>
      <c r="B558" t="s">
        <v>790</v>
      </c>
      <c r="C558" s="1">
        <v>45652</v>
      </c>
      <c r="D558" t="s">
        <v>7</v>
      </c>
      <c r="E558" s="2">
        <v>5763.74</v>
      </c>
    </row>
    <row r="559" spans="1:5" x14ac:dyDescent="0.25">
      <c r="A559" t="s">
        <v>791</v>
      </c>
      <c r="B559" t="s">
        <v>467</v>
      </c>
      <c r="C559" s="1">
        <v>45563</v>
      </c>
      <c r="D559" t="s">
        <v>34</v>
      </c>
      <c r="E559" s="2">
        <v>5301.25</v>
      </c>
    </row>
    <row r="560" spans="1:5" x14ac:dyDescent="0.25">
      <c r="A560" t="s">
        <v>792</v>
      </c>
      <c r="B560" t="s">
        <v>382</v>
      </c>
      <c r="C560" s="1">
        <v>45397</v>
      </c>
      <c r="D560" t="s">
        <v>13</v>
      </c>
      <c r="E560" s="2">
        <v>6584.3</v>
      </c>
    </row>
    <row r="561" spans="1:5" x14ac:dyDescent="0.25">
      <c r="A561" t="s">
        <v>793</v>
      </c>
      <c r="B561" t="s">
        <v>268</v>
      </c>
      <c r="C561" s="1">
        <v>45609</v>
      </c>
      <c r="D561" t="s">
        <v>10</v>
      </c>
      <c r="E561" s="2">
        <v>6797.55</v>
      </c>
    </row>
    <row r="562" spans="1:5" x14ac:dyDescent="0.25">
      <c r="A562" t="s">
        <v>794</v>
      </c>
      <c r="B562" t="s">
        <v>407</v>
      </c>
      <c r="C562" s="1">
        <v>45304</v>
      </c>
      <c r="D562" t="s">
        <v>10</v>
      </c>
      <c r="E562" s="2">
        <v>6565.34</v>
      </c>
    </row>
    <row r="563" spans="1:5" x14ac:dyDescent="0.25">
      <c r="A563" t="s">
        <v>795</v>
      </c>
      <c r="B563" t="s">
        <v>366</v>
      </c>
      <c r="C563" s="1">
        <v>45680</v>
      </c>
      <c r="D563" t="s">
        <v>7</v>
      </c>
      <c r="E563" s="2">
        <v>4039.98</v>
      </c>
    </row>
    <row r="564" spans="1:5" x14ac:dyDescent="0.25">
      <c r="A564" t="s">
        <v>796</v>
      </c>
      <c r="B564" t="s">
        <v>255</v>
      </c>
      <c r="C564" s="1">
        <v>45418</v>
      </c>
      <c r="D564" t="s">
        <v>10</v>
      </c>
      <c r="E564" s="2">
        <v>2765.5</v>
      </c>
    </row>
    <row r="565" spans="1:5" x14ac:dyDescent="0.25">
      <c r="A565" t="s">
        <v>797</v>
      </c>
      <c r="B565" t="s">
        <v>347</v>
      </c>
      <c r="C565" s="1">
        <v>45396</v>
      </c>
      <c r="D565" t="s">
        <v>68</v>
      </c>
      <c r="E565" s="2">
        <v>2238.11</v>
      </c>
    </row>
    <row r="566" spans="1:5" x14ac:dyDescent="0.25">
      <c r="A566" t="s">
        <v>798</v>
      </c>
      <c r="B566" t="s">
        <v>755</v>
      </c>
      <c r="C566" s="1">
        <v>45538</v>
      </c>
      <c r="D566" t="s">
        <v>34</v>
      </c>
      <c r="E566" s="2">
        <v>6331.9</v>
      </c>
    </row>
    <row r="567" spans="1:5" x14ac:dyDescent="0.25">
      <c r="A567" t="s">
        <v>799</v>
      </c>
      <c r="B567" t="s">
        <v>786</v>
      </c>
      <c r="C567" s="1">
        <v>45745</v>
      </c>
      <c r="D567" t="s">
        <v>10</v>
      </c>
      <c r="E567" s="2">
        <v>2672.74</v>
      </c>
    </row>
    <row r="568" spans="1:5" x14ac:dyDescent="0.25">
      <c r="A568" t="s">
        <v>800</v>
      </c>
      <c r="B568" t="s">
        <v>96</v>
      </c>
      <c r="C568" s="1">
        <v>45406</v>
      </c>
      <c r="D568" t="s">
        <v>27</v>
      </c>
      <c r="E568" s="2">
        <v>7442.86</v>
      </c>
    </row>
    <row r="569" spans="1:5" x14ac:dyDescent="0.25">
      <c r="A569" t="s">
        <v>801</v>
      </c>
      <c r="B569" t="s">
        <v>802</v>
      </c>
      <c r="C569" s="1">
        <v>45400</v>
      </c>
      <c r="D569" t="s">
        <v>7</v>
      </c>
      <c r="E569" s="2">
        <v>6488.87</v>
      </c>
    </row>
    <row r="570" spans="1:5" x14ac:dyDescent="0.25">
      <c r="A570" t="s">
        <v>803</v>
      </c>
      <c r="B570" t="s">
        <v>181</v>
      </c>
      <c r="C570" s="1">
        <v>45629</v>
      </c>
      <c r="D570" t="s">
        <v>34</v>
      </c>
      <c r="E570" s="2">
        <v>8586.42</v>
      </c>
    </row>
    <row r="571" spans="1:5" x14ac:dyDescent="0.25">
      <c r="A571" t="s">
        <v>804</v>
      </c>
      <c r="B571" t="s">
        <v>131</v>
      </c>
      <c r="C571" s="1">
        <v>45515</v>
      </c>
      <c r="D571" t="s">
        <v>68</v>
      </c>
      <c r="E571" s="2">
        <v>2047.26</v>
      </c>
    </row>
    <row r="572" spans="1:5" x14ac:dyDescent="0.25">
      <c r="A572" t="s">
        <v>805</v>
      </c>
      <c r="B572" t="s">
        <v>467</v>
      </c>
      <c r="C572" s="1">
        <v>45839</v>
      </c>
      <c r="D572" t="s">
        <v>27</v>
      </c>
      <c r="E572" s="2">
        <v>4929.6899999999996</v>
      </c>
    </row>
    <row r="573" spans="1:5" x14ac:dyDescent="0.25">
      <c r="A573" t="s">
        <v>806</v>
      </c>
      <c r="B573" t="s">
        <v>387</v>
      </c>
      <c r="C573" s="1">
        <v>45949</v>
      </c>
      <c r="D573" t="s">
        <v>63</v>
      </c>
      <c r="E573" s="2">
        <v>4286.2</v>
      </c>
    </row>
    <row r="574" spans="1:5" x14ac:dyDescent="0.25">
      <c r="A574" t="s">
        <v>807</v>
      </c>
      <c r="B574" t="s">
        <v>342</v>
      </c>
      <c r="C574" s="1">
        <v>45514</v>
      </c>
      <c r="D574" t="s">
        <v>63</v>
      </c>
      <c r="E574" s="2">
        <v>5088.3999999999996</v>
      </c>
    </row>
    <row r="575" spans="1:5" x14ac:dyDescent="0.25">
      <c r="A575" t="s">
        <v>808</v>
      </c>
      <c r="B575" t="s">
        <v>102</v>
      </c>
      <c r="C575" s="1">
        <v>45409</v>
      </c>
      <c r="D575" t="s">
        <v>63</v>
      </c>
      <c r="E575" s="2">
        <v>266.89</v>
      </c>
    </row>
    <row r="576" spans="1:5" x14ac:dyDescent="0.25">
      <c r="A576" t="s">
        <v>809</v>
      </c>
      <c r="B576" t="s">
        <v>258</v>
      </c>
      <c r="C576" s="1">
        <v>45380</v>
      </c>
      <c r="D576" t="s">
        <v>13</v>
      </c>
      <c r="E576" s="2">
        <v>6882.84</v>
      </c>
    </row>
    <row r="577" spans="1:5" x14ac:dyDescent="0.25">
      <c r="A577" t="s">
        <v>810</v>
      </c>
      <c r="B577" t="s">
        <v>137</v>
      </c>
      <c r="C577" s="1">
        <v>45978</v>
      </c>
      <c r="D577" t="s">
        <v>13</v>
      </c>
      <c r="E577" s="2">
        <v>6871.8</v>
      </c>
    </row>
    <row r="578" spans="1:5" x14ac:dyDescent="0.25">
      <c r="A578" t="s">
        <v>811</v>
      </c>
      <c r="B578" t="s">
        <v>324</v>
      </c>
      <c r="C578" s="1">
        <v>45950</v>
      </c>
      <c r="D578" t="s">
        <v>34</v>
      </c>
      <c r="E578" s="2">
        <v>1835.6</v>
      </c>
    </row>
    <row r="579" spans="1:5" x14ac:dyDescent="0.25">
      <c r="A579" t="s">
        <v>812</v>
      </c>
      <c r="B579" t="s">
        <v>432</v>
      </c>
      <c r="C579" s="1">
        <v>45448</v>
      </c>
      <c r="D579" t="s">
        <v>63</v>
      </c>
      <c r="E579" s="2">
        <v>438.83</v>
      </c>
    </row>
    <row r="580" spans="1:5" x14ac:dyDescent="0.25">
      <c r="A580" t="s">
        <v>813</v>
      </c>
      <c r="B580" t="s">
        <v>486</v>
      </c>
      <c r="C580" s="1">
        <v>45756</v>
      </c>
      <c r="D580" t="s">
        <v>7</v>
      </c>
      <c r="E580" s="2">
        <v>2381.6</v>
      </c>
    </row>
    <row r="581" spans="1:5" x14ac:dyDescent="0.25">
      <c r="A581" t="s">
        <v>814</v>
      </c>
      <c r="B581" t="s">
        <v>152</v>
      </c>
      <c r="C581" s="1">
        <v>45501</v>
      </c>
      <c r="D581" t="s">
        <v>13</v>
      </c>
      <c r="E581" s="2">
        <v>3470.51</v>
      </c>
    </row>
    <row r="582" spans="1:5" x14ac:dyDescent="0.25">
      <c r="A582" t="s">
        <v>815</v>
      </c>
      <c r="B582" t="s">
        <v>547</v>
      </c>
      <c r="C582" s="1">
        <v>45619</v>
      </c>
      <c r="D582" t="s">
        <v>63</v>
      </c>
      <c r="E582" s="2">
        <v>381.96</v>
      </c>
    </row>
    <row r="583" spans="1:5" x14ac:dyDescent="0.25">
      <c r="A583" t="s">
        <v>816</v>
      </c>
      <c r="B583" t="s">
        <v>347</v>
      </c>
      <c r="C583" s="1">
        <v>45877</v>
      </c>
      <c r="D583" t="s">
        <v>10</v>
      </c>
      <c r="E583" s="2">
        <v>4316.0600000000004</v>
      </c>
    </row>
    <row r="584" spans="1:5" x14ac:dyDescent="0.25">
      <c r="A584" t="s">
        <v>817</v>
      </c>
      <c r="B584" t="s">
        <v>242</v>
      </c>
      <c r="C584" s="1">
        <v>45639</v>
      </c>
      <c r="D584" t="s">
        <v>16</v>
      </c>
      <c r="E584" s="2">
        <v>600.15</v>
      </c>
    </row>
    <row r="585" spans="1:5" x14ac:dyDescent="0.25">
      <c r="A585" t="s">
        <v>818</v>
      </c>
      <c r="B585" t="s">
        <v>819</v>
      </c>
      <c r="C585" s="1">
        <v>45532</v>
      </c>
      <c r="D585" t="s">
        <v>10</v>
      </c>
      <c r="E585" s="2">
        <v>8156.77</v>
      </c>
    </row>
    <row r="586" spans="1:5" x14ac:dyDescent="0.25">
      <c r="A586" t="s">
        <v>820</v>
      </c>
      <c r="B586" t="s">
        <v>434</v>
      </c>
      <c r="C586" s="1">
        <v>45973</v>
      </c>
      <c r="D586" t="s">
        <v>10</v>
      </c>
      <c r="E586" s="2">
        <v>7916.8</v>
      </c>
    </row>
    <row r="587" spans="1:5" x14ac:dyDescent="0.25">
      <c r="A587" t="s">
        <v>821</v>
      </c>
      <c r="B587" t="s">
        <v>593</v>
      </c>
      <c r="C587" s="1">
        <v>45845</v>
      </c>
      <c r="D587" t="s">
        <v>13</v>
      </c>
      <c r="E587" s="2">
        <v>8184.33</v>
      </c>
    </row>
    <row r="588" spans="1:5" x14ac:dyDescent="0.25">
      <c r="A588" t="s">
        <v>822</v>
      </c>
      <c r="B588" t="s">
        <v>198</v>
      </c>
      <c r="C588" s="1">
        <v>45999</v>
      </c>
      <c r="D588" t="s">
        <v>7</v>
      </c>
      <c r="E588" s="2">
        <v>4737.07</v>
      </c>
    </row>
    <row r="589" spans="1:5" x14ac:dyDescent="0.25">
      <c r="A589" t="s">
        <v>823</v>
      </c>
      <c r="B589" t="s">
        <v>662</v>
      </c>
      <c r="C589" s="1">
        <v>45393</v>
      </c>
      <c r="D589" t="s">
        <v>27</v>
      </c>
      <c r="E589" s="2">
        <v>4071.93</v>
      </c>
    </row>
    <row r="590" spans="1:5" x14ac:dyDescent="0.25">
      <c r="A590" t="s">
        <v>824</v>
      </c>
      <c r="B590" t="s">
        <v>36</v>
      </c>
      <c r="C590" s="1">
        <v>45368</v>
      </c>
      <c r="D590" t="s">
        <v>68</v>
      </c>
      <c r="E590" s="2">
        <v>458.73</v>
      </c>
    </row>
    <row r="591" spans="1:5" x14ac:dyDescent="0.25">
      <c r="A591" t="s">
        <v>825</v>
      </c>
      <c r="B591" t="s">
        <v>774</v>
      </c>
      <c r="C591" s="1">
        <v>45640</v>
      </c>
      <c r="D591" t="s">
        <v>27</v>
      </c>
      <c r="E591" s="2">
        <v>8595.4699999999993</v>
      </c>
    </row>
    <row r="592" spans="1:5" x14ac:dyDescent="0.25">
      <c r="A592" t="s">
        <v>826</v>
      </c>
      <c r="B592" t="s">
        <v>735</v>
      </c>
      <c r="C592" s="1">
        <v>45526</v>
      </c>
      <c r="D592" t="s">
        <v>68</v>
      </c>
      <c r="E592" s="2">
        <v>1668.71</v>
      </c>
    </row>
    <row r="593" spans="1:5" x14ac:dyDescent="0.25">
      <c r="A593" t="s">
        <v>827</v>
      </c>
      <c r="B593" t="s">
        <v>385</v>
      </c>
      <c r="C593" s="1">
        <v>45722</v>
      </c>
      <c r="D593" t="s">
        <v>10</v>
      </c>
      <c r="E593" s="2">
        <v>3421.58</v>
      </c>
    </row>
    <row r="594" spans="1:5" x14ac:dyDescent="0.25">
      <c r="A594" t="s">
        <v>828</v>
      </c>
      <c r="B594" t="s">
        <v>118</v>
      </c>
      <c r="C594" s="1">
        <v>45979</v>
      </c>
      <c r="D594" t="s">
        <v>68</v>
      </c>
      <c r="E594" s="2">
        <v>5941.64</v>
      </c>
    </row>
    <row r="595" spans="1:5" x14ac:dyDescent="0.25">
      <c r="A595" t="s">
        <v>829</v>
      </c>
      <c r="B595" t="s">
        <v>511</v>
      </c>
      <c r="C595" s="1">
        <v>46006</v>
      </c>
      <c r="D595" t="s">
        <v>27</v>
      </c>
      <c r="E595" s="2">
        <v>5211.58</v>
      </c>
    </row>
    <row r="596" spans="1:5" x14ac:dyDescent="0.25">
      <c r="A596" t="s">
        <v>830</v>
      </c>
      <c r="B596" t="s">
        <v>137</v>
      </c>
      <c r="C596" s="1">
        <v>45926</v>
      </c>
      <c r="D596" t="s">
        <v>13</v>
      </c>
      <c r="E596" s="2">
        <v>1333.38</v>
      </c>
    </row>
    <row r="597" spans="1:5" x14ac:dyDescent="0.25">
      <c r="A597" t="s">
        <v>831</v>
      </c>
      <c r="B597" t="s">
        <v>96</v>
      </c>
      <c r="C597" s="1">
        <v>45809</v>
      </c>
      <c r="D597" t="s">
        <v>13</v>
      </c>
      <c r="E597" s="2">
        <v>9244.83</v>
      </c>
    </row>
    <row r="598" spans="1:5" x14ac:dyDescent="0.25">
      <c r="A598" t="s">
        <v>832</v>
      </c>
      <c r="B598" t="s">
        <v>306</v>
      </c>
      <c r="C598" s="1">
        <v>45331</v>
      </c>
      <c r="D598" t="s">
        <v>7</v>
      </c>
      <c r="E598" s="2">
        <v>6679.74</v>
      </c>
    </row>
    <row r="599" spans="1:5" x14ac:dyDescent="0.25">
      <c r="A599" t="s">
        <v>833</v>
      </c>
      <c r="B599" t="s">
        <v>362</v>
      </c>
      <c r="C599" s="1">
        <v>45489</v>
      </c>
      <c r="D599" t="s">
        <v>34</v>
      </c>
      <c r="E599" s="2">
        <v>1443.67</v>
      </c>
    </row>
    <row r="600" spans="1:5" x14ac:dyDescent="0.25">
      <c r="A600" t="s">
        <v>834</v>
      </c>
      <c r="B600" t="s">
        <v>407</v>
      </c>
      <c r="C600" s="1">
        <v>45469</v>
      </c>
      <c r="D600" t="s">
        <v>13</v>
      </c>
      <c r="E600" s="2">
        <v>9549.76</v>
      </c>
    </row>
    <row r="601" spans="1:5" x14ac:dyDescent="0.25">
      <c r="A601" t="s">
        <v>835</v>
      </c>
      <c r="B601" t="s">
        <v>407</v>
      </c>
      <c r="C601" s="1">
        <v>45300</v>
      </c>
      <c r="D601" t="s">
        <v>16</v>
      </c>
      <c r="E601" s="2">
        <v>3035.01</v>
      </c>
    </row>
    <row r="602" spans="1:5" x14ac:dyDescent="0.25">
      <c r="A602" t="s">
        <v>836</v>
      </c>
      <c r="B602" t="s">
        <v>284</v>
      </c>
      <c r="C602" s="1">
        <v>45993</v>
      </c>
      <c r="D602" t="s">
        <v>10</v>
      </c>
      <c r="E602" s="2">
        <v>536.08000000000004</v>
      </c>
    </row>
    <row r="603" spans="1:5" x14ac:dyDescent="0.25">
      <c r="A603" t="s">
        <v>837</v>
      </c>
      <c r="B603" t="s">
        <v>65</v>
      </c>
      <c r="C603" s="1">
        <v>45954</v>
      </c>
      <c r="D603" t="s">
        <v>13</v>
      </c>
      <c r="E603" s="2">
        <v>459.87</v>
      </c>
    </row>
    <row r="604" spans="1:5" x14ac:dyDescent="0.25">
      <c r="A604" t="s">
        <v>838</v>
      </c>
      <c r="B604" t="s">
        <v>108</v>
      </c>
      <c r="C604" s="1">
        <v>45468</v>
      </c>
      <c r="D604" t="s">
        <v>63</v>
      </c>
      <c r="E604" s="2">
        <v>5119.13</v>
      </c>
    </row>
    <row r="605" spans="1:5" x14ac:dyDescent="0.25">
      <c r="A605" t="s">
        <v>839</v>
      </c>
      <c r="B605" t="s">
        <v>614</v>
      </c>
      <c r="C605" s="1">
        <v>45560</v>
      </c>
      <c r="D605" t="s">
        <v>34</v>
      </c>
      <c r="E605" s="2">
        <v>7981.15</v>
      </c>
    </row>
    <row r="606" spans="1:5" x14ac:dyDescent="0.25">
      <c r="A606" t="s">
        <v>840</v>
      </c>
      <c r="B606" t="s">
        <v>76</v>
      </c>
      <c r="C606" s="1">
        <v>45694</v>
      </c>
      <c r="D606" t="s">
        <v>16</v>
      </c>
      <c r="E606" s="2">
        <v>2648.36</v>
      </c>
    </row>
    <row r="607" spans="1:5" x14ac:dyDescent="0.25">
      <c r="A607" t="s">
        <v>841</v>
      </c>
      <c r="B607" t="s">
        <v>385</v>
      </c>
      <c r="C607" s="1">
        <v>45389</v>
      </c>
      <c r="D607" t="s">
        <v>27</v>
      </c>
      <c r="E607" s="2">
        <v>2455.23</v>
      </c>
    </row>
    <row r="608" spans="1:5" x14ac:dyDescent="0.25">
      <c r="A608" t="s">
        <v>842</v>
      </c>
      <c r="B608" t="s">
        <v>843</v>
      </c>
      <c r="C608" s="1">
        <v>45688</v>
      </c>
      <c r="D608" t="s">
        <v>10</v>
      </c>
      <c r="E608" s="2">
        <v>4273.0200000000004</v>
      </c>
    </row>
    <row r="609" spans="1:5" x14ac:dyDescent="0.25">
      <c r="A609" t="s">
        <v>844</v>
      </c>
      <c r="B609" t="s">
        <v>716</v>
      </c>
      <c r="C609" s="1">
        <v>45324</v>
      </c>
      <c r="D609" t="s">
        <v>34</v>
      </c>
      <c r="E609" s="2">
        <v>7259.34</v>
      </c>
    </row>
    <row r="610" spans="1:5" x14ac:dyDescent="0.25">
      <c r="A610" t="s">
        <v>845</v>
      </c>
      <c r="B610" t="s">
        <v>494</v>
      </c>
      <c r="C610" s="1">
        <v>45542</v>
      </c>
      <c r="D610" t="s">
        <v>10</v>
      </c>
      <c r="E610" s="2">
        <v>1407.39</v>
      </c>
    </row>
    <row r="611" spans="1:5" x14ac:dyDescent="0.25">
      <c r="A611" t="s">
        <v>846</v>
      </c>
      <c r="B611" t="s">
        <v>437</v>
      </c>
      <c r="C611" s="1">
        <v>45972</v>
      </c>
      <c r="D611" t="s">
        <v>16</v>
      </c>
      <c r="E611" s="2">
        <v>1634.09</v>
      </c>
    </row>
    <row r="612" spans="1:5" x14ac:dyDescent="0.25">
      <c r="A612" t="s">
        <v>847</v>
      </c>
      <c r="B612" t="s">
        <v>218</v>
      </c>
      <c r="C612" s="1">
        <v>45787</v>
      </c>
      <c r="D612" t="s">
        <v>27</v>
      </c>
      <c r="E612" s="2">
        <v>3831.64</v>
      </c>
    </row>
    <row r="613" spans="1:5" x14ac:dyDescent="0.25">
      <c r="A613" t="s">
        <v>848</v>
      </c>
      <c r="B613" t="s">
        <v>458</v>
      </c>
      <c r="C613" s="1">
        <v>45538</v>
      </c>
      <c r="D613" t="s">
        <v>27</v>
      </c>
      <c r="E613" s="2">
        <v>3426.87</v>
      </c>
    </row>
    <row r="614" spans="1:5" x14ac:dyDescent="0.25">
      <c r="A614" t="s">
        <v>849</v>
      </c>
      <c r="B614" t="s">
        <v>306</v>
      </c>
      <c r="C614" s="1">
        <v>45714</v>
      </c>
      <c r="D614" t="s">
        <v>68</v>
      </c>
      <c r="E614" s="2">
        <v>2686.06</v>
      </c>
    </row>
    <row r="615" spans="1:5" x14ac:dyDescent="0.25">
      <c r="A615" t="s">
        <v>850</v>
      </c>
      <c r="B615" t="s">
        <v>851</v>
      </c>
      <c r="C615" s="1">
        <v>45422</v>
      </c>
      <c r="D615" t="s">
        <v>10</v>
      </c>
      <c r="E615" s="2">
        <v>1414.04</v>
      </c>
    </row>
    <row r="616" spans="1:5" x14ac:dyDescent="0.25">
      <c r="A616" t="s">
        <v>852</v>
      </c>
      <c r="B616" t="s">
        <v>853</v>
      </c>
      <c r="C616" s="1">
        <v>45421</v>
      </c>
      <c r="D616" t="s">
        <v>7</v>
      </c>
      <c r="E616" s="2">
        <v>4441.8100000000004</v>
      </c>
    </row>
    <row r="617" spans="1:5" x14ac:dyDescent="0.25">
      <c r="A617" t="s">
        <v>854</v>
      </c>
      <c r="B617" t="s">
        <v>282</v>
      </c>
      <c r="C617" s="1">
        <v>45538</v>
      </c>
      <c r="D617" t="s">
        <v>63</v>
      </c>
      <c r="E617" s="2">
        <v>9835.89</v>
      </c>
    </row>
    <row r="618" spans="1:5" x14ac:dyDescent="0.25">
      <c r="A618" t="s">
        <v>855</v>
      </c>
      <c r="B618" t="s">
        <v>76</v>
      </c>
      <c r="C618" s="1">
        <v>45323</v>
      </c>
      <c r="D618" t="s">
        <v>10</v>
      </c>
      <c r="E618" s="2">
        <v>7672.92</v>
      </c>
    </row>
    <row r="619" spans="1:5" x14ac:dyDescent="0.25">
      <c r="A619" t="s">
        <v>856</v>
      </c>
      <c r="B619" t="s">
        <v>437</v>
      </c>
      <c r="C619" s="1">
        <v>45420</v>
      </c>
      <c r="D619" t="s">
        <v>27</v>
      </c>
      <c r="E619" s="2">
        <v>5489.91</v>
      </c>
    </row>
    <row r="620" spans="1:5" x14ac:dyDescent="0.25">
      <c r="A620" t="s">
        <v>857</v>
      </c>
      <c r="B620" t="s">
        <v>654</v>
      </c>
      <c r="C620" s="1">
        <v>45317</v>
      </c>
      <c r="D620" t="s">
        <v>34</v>
      </c>
      <c r="E620" s="2">
        <v>1509.85</v>
      </c>
    </row>
    <row r="621" spans="1:5" x14ac:dyDescent="0.25">
      <c r="A621" t="s">
        <v>858</v>
      </c>
      <c r="B621" t="s">
        <v>76</v>
      </c>
      <c r="C621" s="1">
        <v>45560</v>
      </c>
      <c r="D621" t="s">
        <v>34</v>
      </c>
      <c r="E621" s="2">
        <v>6690.68</v>
      </c>
    </row>
    <row r="622" spans="1:5" x14ac:dyDescent="0.25">
      <c r="A622" t="s">
        <v>859</v>
      </c>
      <c r="B622" t="s">
        <v>707</v>
      </c>
      <c r="C622" s="1">
        <v>45698</v>
      </c>
      <c r="D622" t="s">
        <v>27</v>
      </c>
      <c r="E622" s="2">
        <v>1066.6300000000001</v>
      </c>
    </row>
    <row r="623" spans="1:5" x14ac:dyDescent="0.25">
      <c r="A623" t="s">
        <v>860</v>
      </c>
      <c r="B623" t="s">
        <v>553</v>
      </c>
      <c r="C623" s="1">
        <v>45497</v>
      </c>
      <c r="D623" t="s">
        <v>16</v>
      </c>
      <c r="E623" s="2">
        <v>3985.64</v>
      </c>
    </row>
    <row r="624" spans="1:5" x14ac:dyDescent="0.25">
      <c r="A624" t="s">
        <v>861</v>
      </c>
      <c r="B624" t="s">
        <v>339</v>
      </c>
      <c r="C624" s="1">
        <v>45807</v>
      </c>
      <c r="D624" t="s">
        <v>34</v>
      </c>
      <c r="E624" s="2">
        <v>7726.73</v>
      </c>
    </row>
    <row r="625" spans="1:5" x14ac:dyDescent="0.25">
      <c r="A625" t="s">
        <v>862</v>
      </c>
      <c r="B625" t="s">
        <v>22</v>
      </c>
      <c r="C625" s="1">
        <v>45624</v>
      </c>
      <c r="D625" t="s">
        <v>16</v>
      </c>
      <c r="E625" s="2">
        <v>562.19000000000005</v>
      </c>
    </row>
    <row r="626" spans="1:5" x14ac:dyDescent="0.25">
      <c r="A626" t="s">
        <v>863</v>
      </c>
      <c r="B626" t="s">
        <v>571</v>
      </c>
      <c r="C626" s="1">
        <v>45823</v>
      </c>
      <c r="D626" t="s">
        <v>13</v>
      </c>
      <c r="E626" s="2">
        <v>9463.9500000000007</v>
      </c>
    </row>
    <row r="627" spans="1:5" x14ac:dyDescent="0.25">
      <c r="A627" t="s">
        <v>864</v>
      </c>
      <c r="B627" t="s">
        <v>244</v>
      </c>
      <c r="C627" s="1">
        <v>45747</v>
      </c>
      <c r="D627" t="s">
        <v>13</v>
      </c>
      <c r="E627" s="2">
        <v>7349.22</v>
      </c>
    </row>
    <row r="628" spans="1:5" x14ac:dyDescent="0.25">
      <c r="A628" t="s">
        <v>865</v>
      </c>
      <c r="B628" t="s">
        <v>168</v>
      </c>
      <c r="C628" s="1">
        <v>45380</v>
      </c>
      <c r="D628" t="s">
        <v>13</v>
      </c>
      <c r="E628" s="2">
        <v>7337.61</v>
      </c>
    </row>
    <row r="629" spans="1:5" x14ac:dyDescent="0.25">
      <c r="A629" t="s">
        <v>866</v>
      </c>
      <c r="B629" t="s">
        <v>216</v>
      </c>
      <c r="C629" s="1">
        <v>45645</v>
      </c>
      <c r="D629" t="s">
        <v>7</v>
      </c>
      <c r="E629" s="2">
        <v>2482</v>
      </c>
    </row>
    <row r="630" spans="1:5" x14ac:dyDescent="0.25">
      <c r="A630" t="s">
        <v>867</v>
      </c>
      <c r="B630" t="s">
        <v>339</v>
      </c>
      <c r="C630" s="1">
        <v>45427</v>
      </c>
      <c r="D630" t="s">
        <v>16</v>
      </c>
      <c r="E630" s="2">
        <v>4316.28</v>
      </c>
    </row>
    <row r="631" spans="1:5" x14ac:dyDescent="0.25">
      <c r="A631" t="s">
        <v>868</v>
      </c>
      <c r="B631" t="s">
        <v>154</v>
      </c>
      <c r="C631" s="1">
        <v>46003</v>
      </c>
      <c r="D631" t="s">
        <v>10</v>
      </c>
      <c r="E631" s="2">
        <v>6560.23</v>
      </c>
    </row>
    <row r="632" spans="1:5" x14ac:dyDescent="0.25">
      <c r="A632" t="s">
        <v>869</v>
      </c>
      <c r="B632" t="s">
        <v>755</v>
      </c>
      <c r="C632" s="1">
        <v>45620</v>
      </c>
      <c r="D632" t="s">
        <v>27</v>
      </c>
      <c r="E632" s="2">
        <v>1581.67</v>
      </c>
    </row>
    <row r="633" spans="1:5" x14ac:dyDescent="0.25">
      <c r="A633" t="s">
        <v>870</v>
      </c>
      <c r="B633" t="s">
        <v>326</v>
      </c>
      <c r="C633" s="1">
        <v>45351</v>
      </c>
      <c r="D633" t="s">
        <v>68</v>
      </c>
      <c r="E633" s="2">
        <v>7809.28</v>
      </c>
    </row>
    <row r="634" spans="1:5" x14ac:dyDescent="0.25">
      <c r="A634" t="s">
        <v>871</v>
      </c>
      <c r="B634" t="s">
        <v>366</v>
      </c>
      <c r="C634" s="1">
        <v>45842</v>
      </c>
      <c r="D634" t="s">
        <v>16</v>
      </c>
      <c r="E634" s="2">
        <v>3867.29</v>
      </c>
    </row>
    <row r="635" spans="1:5" x14ac:dyDescent="0.25">
      <c r="A635" t="s">
        <v>872</v>
      </c>
      <c r="B635" t="s">
        <v>398</v>
      </c>
      <c r="C635" s="1">
        <v>45366</v>
      </c>
      <c r="D635" t="s">
        <v>34</v>
      </c>
      <c r="E635" s="2">
        <v>4252.09</v>
      </c>
    </row>
    <row r="636" spans="1:5" x14ac:dyDescent="0.25">
      <c r="A636" t="s">
        <v>873</v>
      </c>
      <c r="B636" t="s">
        <v>503</v>
      </c>
      <c r="C636" s="1">
        <v>45728</v>
      </c>
      <c r="D636" t="s">
        <v>7</v>
      </c>
      <c r="E636" s="2">
        <v>3103.15</v>
      </c>
    </row>
    <row r="637" spans="1:5" x14ac:dyDescent="0.25">
      <c r="A637" t="s">
        <v>874</v>
      </c>
      <c r="B637" t="s">
        <v>129</v>
      </c>
      <c r="C637" s="1">
        <v>45523</v>
      </c>
      <c r="D637" t="s">
        <v>27</v>
      </c>
      <c r="E637" s="2">
        <v>1362.42</v>
      </c>
    </row>
    <row r="638" spans="1:5" x14ac:dyDescent="0.25">
      <c r="A638" t="s">
        <v>875</v>
      </c>
      <c r="B638" t="s">
        <v>36</v>
      </c>
      <c r="C638" s="1">
        <v>45676</v>
      </c>
      <c r="D638" t="s">
        <v>27</v>
      </c>
      <c r="E638" s="2">
        <v>8758.08</v>
      </c>
    </row>
    <row r="639" spans="1:5" x14ac:dyDescent="0.25">
      <c r="A639" t="s">
        <v>876</v>
      </c>
      <c r="B639" t="s">
        <v>802</v>
      </c>
      <c r="C639" s="1">
        <v>45404</v>
      </c>
      <c r="D639" t="s">
        <v>34</v>
      </c>
      <c r="E639" s="2">
        <v>8171.44</v>
      </c>
    </row>
    <row r="640" spans="1:5" x14ac:dyDescent="0.25">
      <c r="A640" t="s">
        <v>877</v>
      </c>
      <c r="B640" t="s">
        <v>878</v>
      </c>
      <c r="C640" s="1">
        <v>45745</v>
      </c>
      <c r="D640" t="s">
        <v>68</v>
      </c>
      <c r="E640" s="2">
        <v>567.35</v>
      </c>
    </row>
    <row r="641" spans="1:5" x14ac:dyDescent="0.25">
      <c r="A641" t="s">
        <v>879</v>
      </c>
      <c r="B641" t="s">
        <v>443</v>
      </c>
      <c r="C641" s="1">
        <v>45306</v>
      </c>
      <c r="D641" t="s">
        <v>16</v>
      </c>
      <c r="E641" s="2">
        <v>8846.67</v>
      </c>
    </row>
    <row r="642" spans="1:5" x14ac:dyDescent="0.25">
      <c r="A642" t="s">
        <v>880</v>
      </c>
      <c r="B642" t="s">
        <v>611</v>
      </c>
      <c r="C642" s="1">
        <v>45992</v>
      </c>
      <c r="D642" t="s">
        <v>13</v>
      </c>
      <c r="E642" s="2">
        <v>6628.07</v>
      </c>
    </row>
    <row r="643" spans="1:5" x14ac:dyDescent="0.25">
      <c r="A643" t="s">
        <v>881</v>
      </c>
      <c r="B643" t="s">
        <v>882</v>
      </c>
      <c r="C643" s="1">
        <v>45825</v>
      </c>
      <c r="D643" t="s">
        <v>63</v>
      </c>
      <c r="E643" s="2">
        <v>4848.0600000000004</v>
      </c>
    </row>
    <row r="644" spans="1:5" x14ac:dyDescent="0.25">
      <c r="A644" t="s">
        <v>883</v>
      </c>
      <c r="B644" t="s">
        <v>500</v>
      </c>
      <c r="C644" s="1">
        <v>45972</v>
      </c>
      <c r="D644" t="s">
        <v>16</v>
      </c>
      <c r="E644" s="2">
        <v>647.45000000000005</v>
      </c>
    </row>
    <row r="645" spans="1:5" x14ac:dyDescent="0.25">
      <c r="A645" t="s">
        <v>884</v>
      </c>
      <c r="B645" t="s">
        <v>607</v>
      </c>
      <c r="C645" s="1">
        <v>45444</v>
      </c>
      <c r="D645" t="s">
        <v>7</v>
      </c>
      <c r="E645" s="2">
        <v>6327.06</v>
      </c>
    </row>
    <row r="646" spans="1:5" x14ac:dyDescent="0.25">
      <c r="A646" t="s">
        <v>885</v>
      </c>
      <c r="B646" t="s">
        <v>282</v>
      </c>
      <c r="C646" s="1">
        <v>45346</v>
      </c>
      <c r="D646" t="s">
        <v>63</v>
      </c>
      <c r="E646" s="2">
        <v>4531.29</v>
      </c>
    </row>
    <row r="647" spans="1:5" x14ac:dyDescent="0.25">
      <c r="A647" t="s">
        <v>886</v>
      </c>
      <c r="B647" t="s">
        <v>54</v>
      </c>
      <c r="C647" s="1">
        <v>45679</v>
      </c>
      <c r="D647" t="s">
        <v>68</v>
      </c>
      <c r="E647" s="2">
        <v>4896.1400000000003</v>
      </c>
    </row>
    <row r="648" spans="1:5" x14ac:dyDescent="0.25">
      <c r="A648" t="s">
        <v>887</v>
      </c>
      <c r="B648" t="s">
        <v>170</v>
      </c>
      <c r="C648" s="1">
        <v>45819</v>
      </c>
      <c r="D648" t="s">
        <v>13</v>
      </c>
      <c r="E648" s="2">
        <v>5039.3599999999997</v>
      </c>
    </row>
    <row r="649" spans="1:5" x14ac:dyDescent="0.25">
      <c r="A649" t="s">
        <v>888</v>
      </c>
      <c r="B649" t="s">
        <v>464</v>
      </c>
      <c r="C649" s="1">
        <v>45922</v>
      </c>
      <c r="D649" t="s">
        <v>13</v>
      </c>
      <c r="E649" s="2">
        <v>2431.75</v>
      </c>
    </row>
    <row r="650" spans="1:5" x14ac:dyDescent="0.25">
      <c r="A650" t="s">
        <v>889</v>
      </c>
      <c r="B650" t="s">
        <v>178</v>
      </c>
      <c r="C650" s="1">
        <v>45972</v>
      </c>
      <c r="D650" t="s">
        <v>7</v>
      </c>
      <c r="E650" s="2">
        <v>7581.66</v>
      </c>
    </row>
    <row r="651" spans="1:5" x14ac:dyDescent="0.25">
      <c r="A651" t="s">
        <v>890</v>
      </c>
      <c r="B651" t="s">
        <v>375</v>
      </c>
      <c r="C651" s="1">
        <v>45629</v>
      </c>
      <c r="D651" t="s">
        <v>13</v>
      </c>
      <c r="E651" s="2">
        <v>4679.76</v>
      </c>
    </row>
    <row r="652" spans="1:5" x14ac:dyDescent="0.25">
      <c r="A652" t="s">
        <v>891</v>
      </c>
      <c r="B652" t="s">
        <v>324</v>
      </c>
      <c r="C652" s="1">
        <v>45964</v>
      </c>
      <c r="D652" t="s">
        <v>27</v>
      </c>
      <c r="E652" s="2">
        <v>8084.58</v>
      </c>
    </row>
    <row r="653" spans="1:5" x14ac:dyDescent="0.25">
      <c r="A653" t="s">
        <v>892</v>
      </c>
      <c r="B653" t="s">
        <v>786</v>
      </c>
      <c r="C653" s="1">
        <v>45548</v>
      </c>
      <c r="D653" t="s">
        <v>7</v>
      </c>
      <c r="E653" s="2">
        <v>5775.01</v>
      </c>
    </row>
    <row r="654" spans="1:5" x14ac:dyDescent="0.25">
      <c r="A654" t="s">
        <v>893</v>
      </c>
      <c r="B654" t="s">
        <v>843</v>
      </c>
      <c r="C654" s="1">
        <v>45302</v>
      </c>
      <c r="D654" t="s">
        <v>27</v>
      </c>
      <c r="E654" s="2">
        <v>2672.06</v>
      </c>
    </row>
    <row r="655" spans="1:5" x14ac:dyDescent="0.25">
      <c r="A655" t="s">
        <v>894</v>
      </c>
      <c r="B655" t="s">
        <v>774</v>
      </c>
      <c r="C655" s="1">
        <v>45353</v>
      </c>
      <c r="D655" t="s">
        <v>34</v>
      </c>
      <c r="E655" s="2">
        <v>516.04</v>
      </c>
    </row>
    <row r="656" spans="1:5" x14ac:dyDescent="0.25">
      <c r="A656" t="s">
        <v>895</v>
      </c>
      <c r="B656" t="s">
        <v>282</v>
      </c>
      <c r="C656" s="1">
        <v>45818</v>
      </c>
      <c r="D656" t="s">
        <v>10</v>
      </c>
      <c r="E656" s="2">
        <v>6291.27</v>
      </c>
    </row>
    <row r="657" spans="1:5" x14ac:dyDescent="0.25">
      <c r="A657" t="s">
        <v>896</v>
      </c>
      <c r="B657" t="s">
        <v>350</v>
      </c>
      <c r="C657" s="1">
        <v>45552</v>
      </c>
      <c r="D657" t="s">
        <v>68</v>
      </c>
      <c r="E657" s="2">
        <v>6588.57</v>
      </c>
    </row>
    <row r="658" spans="1:5" x14ac:dyDescent="0.25">
      <c r="A658" t="s">
        <v>897</v>
      </c>
      <c r="B658" t="s">
        <v>596</v>
      </c>
      <c r="C658" s="1">
        <v>45931</v>
      </c>
      <c r="D658" t="s">
        <v>13</v>
      </c>
      <c r="E658" s="2">
        <v>1957.74</v>
      </c>
    </row>
    <row r="659" spans="1:5" x14ac:dyDescent="0.25">
      <c r="A659" t="s">
        <v>898</v>
      </c>
      <c r="B659" t="s">
        <v>33</v>
      </c>
      <c r="C659" s="1">
        <v>45629</v>
      </c>
      <c r="D659" t="s">
        <v>7</v>
      </c>
      <c r="E659" s="2">
        <v>5394</v>
      </c>
    </row>
    <row r="660" spans="1:5" x14ac:dyDescent="0.25">
      <c r="A660" t="s">
        <v>899</v>
      </c>
      <c r="B660" t="s">
        <v>464</v>
      </c>
      <c r="C660" s="1">
        <v>45485</v>
      </c>
      <c r="D660" t="s">
        <v>34</v>
      </c>
      <c r="E660" s="2">
        <v>4933.82</v>
      </c>
    </row>
    <row r="661" spans="1:5" x14ac:dyDescent="0.25">
      <c r="A661" t="s">
        <v>900</v>
      </c>
      <c r="B661" t="s">
        <v>547</v>
      </c>
      <c r="C661" s="1">
        <v>45590</v>
      </c>
      <c r="D661" t="s">
        <v>13</v>
      </c>
      <c r="E661" s="2">
        <v>7363.45</v>
      </c>
    </row>
    <row r="662" spans="1:5" x14ac:dyDescent="0.25">
      <c r="A662" t="s">
        <v>901</v>
      </c>
      <c r="B662" t="s">
        <v>478</v>
      </c>
      <c r="C662" s="1">
        <v>45538</v>
      </c>
      <c r="D662" t="s">
        <v>27</v>
      </c>
      <c r="E662" s="2">
        <v>9394.76</v>
      </c>
    </row>
    <row r="663" spans="1:5" x14ac:dyDescent="0.25">
      <c r="A663" t="s">
        <v>902</v>
      </c>
      <c r="B663" t="s">
        <v>18</v>
      </c>
      <c r="C663" s="1">
        <v>45489</v>
      </c>
      <c r="D663" t="s">
        <v>68</v>
      </c>
      <c r="E663" s="2">
        <v>6949.83</v>
      </c>
    </row>
    <row r="664" spans="1:5" x14ac:dyDescent="0.25">
      <c r="A664" t="s">
        <v>903</v>
      </c>
      <c r="B664" t="s">
        <v>166</v>
      </c>
      <c r="C664" s="1">
        <v>45792</v>
      </c>
      <c r="D664" t="s">
        <v>16</v>
      </c>
      <c r="E664" s="2">
        <v>2311.19</v>
      </c>
    </row>
    <row r="665" spans="1:5" x14ac:dyDescent="0.25">
      <c r="A665" t="s">
        <v>904</v>
      </c>
      <c r="B665" t="s">
        <v>905</v>
      </c>
      <c r="C665" s="1">
        <v>45520</v>
      </c>
      <c r="D665" t="s">
        <v>27</v>
      </c>
      <c r="E665" s="2">
        <v>1731.6</v>
      </c>
    </row>
    <row r="666" spans="1:5" x14ac:dyDescent="0.25">
      <c r="A666" t="s">
        <v>906</v>
      </c>
      <c r="B666" t="s">
        <v>486</v>
      </c>
      <c r="C666" s="1">
        <v>45479</v>
      </c>
      <c r="D666" t="s">
        <v>13</v>
      </c>
      <c r="E666" s="2">
        <v>3153.99</v>
      </c>
    </row>
    <row r="667" spans="1:5" x14ac:dyDescent="0.25">
      <c r="A667" t="s">
        <v>907</v>
      </c>
      <c r="B667" t="s">
        <v>266</v>
      </c>
      <c r="C667" s="1">
        <v>45292</v>
      </c>
      <c r="D667" t="s">
        <v>34</v>
      </c>
      <c r="E667" s="2">
        <v>850.59</v>
      </c>
    </row>
    <row r="668" spans="1:5" x14ac:dyDescent="0.25">
      <c r="A668" t="s">
        <v>908</v>
      </c>
      <c r="B668" t="s">
        <v>255</v>
      </c>
      <c r="C668" s="1">
        <v>45726</v>
      </c>
      <c r="D668" t="s">
        <v>34</v>
      </c>
      <c r="E668" s="2">
        <v>3973.96</v>
      </c>
    </row>
    <row r="669" spans="1:5" x14ac:dyDescent="0.25">
      <c r="A669" t="s">
        <v>909</v>
      </c>
      <c r="B669" t="s">
        <v>29</v>
      </c>
      <c r="C669" s="1">
        <v>45902</v>
      </c>
      <c r="D669" t="s">
        <v>68</v>
      </c>
      <c r="E669" s="2">
        <v>9706.52</v>
      </c>
    </row>
    <row r="670" spans="1:5" x14ac:dyDescent="0.25">
      <c r="A670" t="s">
        <v>910</v>
      </c>
      <c r="B670" t="s">
        <v>347</v>
      </c>
      <c r="C670" s="1">
        <v>46006</v>
      </c>
      <c r="D670" t="s">
        <v>68</v>
      </c>
      <c r="E670" s="2">
        <v>6050.22</v>
      </c>
    </row>
    <row r="671" spans="1:5" x14ac:dyDescent="0.25">
      <c r="A671" t="s">
        <v>911</v>
      </c>
      <c r="B671" t="s">
        <v>722</v>
      </c>
      <c r="C671" s="1">
        <v>45908</v>
      </c>
      <c r="D671" t="s">
        <v>10</v>
      </c>
      <c r="E671" s="2">
        <v>8887.84</v>
      </c>
    </row>
    <row r="672" spans="1:5" x14ac:dyDescent="0.25">
      <c r="A672" t="s">
        <v>912</v>
      </c>
      <c r="B672" t="s">
        <v>494</v>
      </c>
      <c r="C672" s="1">
        <v>45927</v>
      </c>
      <c r="D672" t="s">
        <v>10</v>
      </c>
      <c r="E672" s="2">
        <v>6964.65</v>
      </c>
    </row>
    <row r="673" spans="1:5" x14ac:dyDescent="0.25">
      <c r="A673" t="s">
        <v>913</v>
      </c>
      <c r="B673" t="s">
        <v>680</v>
      </c>
      <c r="C673" s="1">
        <v>45377</v>
      </c>
      <c r="D673" t="s">
        <v>7</v>
      </c>
      <c r="E673" s="2">
        <v>8187.16</v>
      </c>
    </row>
    <row r="674" spans="1:5" x14ac:dyDescent="0.25">
      <c r="A674" t="s">
        <v>914</v>
      </c>
      <c r="B674" t="s">
        <v>303</v>
      </c>
      <c r="C674" s="1">
        <v>45394</v>
      </c>
      <c r="D674" t="s">
        <v>34</v>
      </c>
      <c r="E674" s="2">
        <v>5590.73</v>
      </c>
    </row>
    <row r="675" spans="1:5" x14ac:dyDescent="0.25">
      <c r="A675" t="s">
        <v>915</v>
      </c>
      <c r="B675" t="s">
        <v>36</v>
      </c>
      <c r="C675" s="1">
        <v>45837</v>
      </c>
      <c r="D675" t="s">
        <v>10</v>
      </c>
      <c r="E675" s="2">
        <v>988.9</v>
      </c>
    </row>
    <row r="676" spans="1:5" x14ac:dyDescent="0.25">
      <c r="A676" t="s">
        <v>916</v>
      </c>
      <c r="B676" t="s">
        <v>483</v>
      </c>
      <c r="C676" s="1">
        <v>45671</v>
      </c>
      <c r="D676" t="s">
        <v>10</v>
      </c>
      <c r="E676" s="2">
        <v>8708.2900000000009</v>
      </c>
    </row>
    <row r="677" spans="1:5" x14ac:dyDescent="0.25">
      <c r="A677" t="s">
        <v>917</v>
      </c>
      <c r="B677" t="s">
        <v>511</v>
      </c>
      <c r="C677" s="1">
        <v>45891</v>
      </c>
      <c r="D677" t="s">
        <v>7</v>
      </c>
      <c r="E677" s="2">
        <v>1146.4100000000001</v>
      </c>
    </row>
    <row r="678" spans="1:5" x14ac:dyDescent="0.25">
      <c r="A678" t="s">
        <v>918</v>
      </c>
      <c r="B678" t="s">
        <v>251</v>
      </c>
      <c r="C678" s="1">
        <v>45543</v>
      </c>
      <c r="D678" t="s">
        <v>7</v>
      </c>
      <c r="E678" s="2">
        <v>8907.2199999999993</v>
      </c>
    </row>
    <row r="679" spans="1:5" x14ac:dyDescent="0.25">
      <c r="A679" t="s">
        <v>919</v>
      </c>
      <c r="B679" t="s">
        <v>711</v>
      </c>
      <c r="C679" s="1">
        <v>46019</v>
      </c>
      <c r="D679" t="s">
        <v>27</v>
      </c>
      <c r="E679" s="2">
        <v>3308.27</v>
      </c>
    </row>
    <row r="680" spans="1:5" x14ac:dyDescent="0.25">
      <c r="A680" t="s">
        <v>920</v>
      </c>
      <c r="B680" t="s">
        <v>114</v>
      </c>
      <c r="C680" s="1">
        <v>45669</v>
      </c>
      <c r="D680" t="s">
        <v>13</v>
      </c>
      <c r="E680" s="2">
        <v>8668.58</v>
      </c>
    </row>
    <row r="681" spans="1:5" x14ac:dyDescent="0.25">
      <c r="A681" t="s">
        <v>921</v>
      </c>
      <c r="B681" t="s">
        <v>434</v>
      </c>
      <c r="C681" s="1">
        <v>45884</v>
      </c>
      <c r="D681" t="s">
        <v>27</v>
      </c>
      <c r="E681" s="2">
        <v>5804.87</v>
      </c>
    </row>
    <row r="682" spans="1:5" x14ac:dyDescent="0.25">
      <c r="A682" t="s">
        <v>922</v>
      </c>
      <c r="B682" t="s">
        <v>98</v>
      </c>
      <c r="C682" s="1">
        <v>45555</v>
      </c>
      <c r="D682" t="s">
        <v>7</v>
      </c>
      <c r="E682" s="2">
        <v>8843.11</v>
      </c>
    </row>
    <row r="683" spans="1:5" x14ac:dyDescent="0.25">
      <c r="A683" t="s">
        <v>923</v>
      </c>
      <c r="B683" t="s">
        <v>309</v>
      </c>
      <c r="C683" s="1">
        <v>46000</v>
      </c>
      <c r="D683" t="s">
        <v>68</v>
      </c>
      <c r="E683" s="2">
        <v>5311.93</v>
      </c>
    </row>
    <row r="684" spans="1:5" x14ac:dyDescent="0.25">
      <c r="A684" t="s">
        <v>924</v>
      </c>
      <c r="B684" t="s">
        <v>437</v>
      </c>
      <c r="C684" s="1">
        <v>45849</v>
      </c>
      <c r="D684" t="s">
        <v>13</v>
      </c>
      <c r="E684" s="2">
        <v>2812.6</v>
      </c>
    </row>
    <row r="685" spans="1:5" x14ac:dyDescent="0.25">
      <c r="A685" t="s">
        <v>925</v>
      </c>
      <c r="B685" t="s">
        <v>129</v>
      </c>
      <c r="C685" s="1">
        <v>45511</v>
      </c>
      <c r="D685" t="s">
        <v>16</v>
      </c>
      <c r="E685" s="2">
        <v>7403.43</v>
      </c>
    </row>
    <row r="686" spans="1:5" x14ac:dyDescent="0.25">
      <c r="A686" t="s">
        <v>926</v>
      </c>
      <c r="B686" t="s">
        <v>85</v>
      </c>
      <c r="C686" s="1">
        <v>45397</v>
      </c>
      <c r="D686" t="s">
        <v>34</v>
      </c>
      <c r="E686" s="2">
        <v>1056.92</v>
      </c>
    </row>
    <row r="687" spans="1:5" x14ac:dyDescent="0.25">
      <c r="A687" t="s">
        <v>927</v>
      </c>
      <c r="B687" t="s">
        <v>50</v>
      </c>
      <c r="C687" s="1">
        <v>45865</v>
      </c>
      <c r="D687" t="s">
        <v>10</v>
      </c>
      <c r="E687" s="2">
        <v>6333.36</v>
      </c>
    </row>
    <row r="688" spans="1:5" x14ac:dyDescent="0.25">
      <c r="A688" t="s">
        <v>928</v>
      </c>
      <c r="B688" t="s">
        <v>78</v>
      </c>
      <c r="C688" s="1">
        <v>45808</v>
      </c>
      <c r="D688" t="s">
        <v>16</v>
      </c>
      <c r="E688" s="2">
        <v>5727.58</v>
      </c>
    </row>
    <row r="689" spans="1:5" x14ac:dyDescent="0.25">
      <c r="A689" t="s">
        <v>929</v>
      </c>
      <c r="B689" t="s">
        <v>255</v>
      </c>
      <c r="C689" s="1">
        <v>45975</v>
      </c>
      <c r="D689" t="s">
        <v>68</v>
      </c>
      <c r="E689" s="2">
        <v>8596.41</v>
      </c>
    </row>
    <row r="690" spans="1:5" x14ac:dyDescent="0.25">
      <c r="A690" t="s">
        <v>930</v>
      </c>
      <c r="B690" t="s">
        <v>786</v>
      </c>
      <c r="C690" s="1">
        <v>45848</v>
      </c>
      <c r="D690" t="s">
        <v>34</v>
      </c>
      <c r="E690" s="2">
        <v>9192.19</v>
      </c>
    </row>
    <row r="691" spans="1:5" x14ac:dyDescent="0.25">
      <c r="A691" t="s">
        <v>931</v>
      </c>
      <c r="B691" t="s">
        <v>377</v>
      </c>
      <c r="C691" s="1">
        <v>45771</v>
      </c>
      <c r="D691" t="s">
        <v>16</v>
      </c>
      <c r="E691" s="2">
        <v>7331.64</v>
      </c>
    </row>
    <row r="692" spans="1:5" x14ac:dyDescent="0.25">
      <c r="A692" t="s">
        <v>932</v>
      </c>
      <c r="B692" t="s">
        <v>478</v>
      </c>
      <c r="C692" s="1">
        <v>46009</v>
      </c>
      <c r="D692" t="s">
        <v>27</v>
      </c>
      <c r="E692" s="2">
        <v>9964.6</v>
      </c>
    </row>
    <row r="693" spans="1:5" x14ac:dyDescent="0.25">
      <c r="A693" t="s">
        <v>933</v>
      </c>
      <c r="B693" t="s">
        <v>196</v>
      </c>
      <c r="C693" s="1">
        <v>45615</v>
      </c>
      <c r="D693" t="s">
        <v>13</v>
      </c>
      <c r="E693" s="2">
        <v>1387.12</v>
      </c>
    </row>
    <row r="694" spans="1:5" x14ac:dyDescent="0.25">
      <c r="A694" t="s">
        <v>934</v>
      </c>
      <c r="B694" t="s">
        <v>275</v>
      </c>
      <c r="C694" s="1">
        <v>45812</v>
      </c>
      <c r="D694" t="s">
        <v>7</v>
      </c>
      <c r="E694" s="2">
        <v>1497.79</v>
      </c>
    </row>
    <row r="695" spans="1:5" x14ac:dyDescent="0.25">
      <c r="A695" t="s">
        <v>935</v>
      </c>
      <c r="B695" t="s">
        <v>614</v>
      </c>
      <c r="C695" s="1">
        <v>45449</v>
      </c>
      <c r="D695" t="s">
        <v>63</v>
      </c>
      <c r="E695" s="2">
        <v>4398.95</v>
      </c>
    </row>
    <row r="696" spans="1:5" x14ac:dyDescent="0.25">
      <c r="A696" t="s">
        <v>936</v>
      </c>
      <c r="B696" t="s">
        <v>446</v>
      </c>
      <c r="C696" s="1">
        <v>45893</v>
      </c>
      <c r="D696" t="s">
        <v>68</v>
      </c>
      <c r="E696" s="2">
        <v>8337.18</v>
      </c>
    </row>
    <row r="697" spans="1:5" x14ac:dyDescent="0.25">
      <c r="A697" t="s">
        <v>937</v>
      </c>
      <c r="B697" t="s">
        <v>599</v>
      </c>
      <c r="C697" s="1">
        <v>45993</v>
      </c>
      <c r="D697" t="s">
        <v>63</v>
      </c>
      <c r="E697" s="2">
        <v>9194.01</v>
      </c>
    </row>
    <row r="698" spans="1:5" x14ac:dyDescent="0.25">
      <c r="A698" t="s">
        <v>938</v>
      </c>
      <c r="B698" t="s">
        <v>87</v>
      </c>
      <c r="C698" s="1">
        <v>45992</v>
      </c>
      <c r="D698" t="s">
        <v>34</v>
      </c>
      <c r="E698" s="2">
        <v>4456.8599999999997</v>
      </c>
    </row>
    <row r="699" spans="1:5" x14ac:dyDescent="0.25">
      <c r="A699" t="s">
        <v>939</v>
      </c>
      <c r="B699" t="s">
        <v>122</v>
      </c>
      <c r="C699" s="1">
        <v>45301</v>
      </c>
      <c r="D699" t="s">
        <v>68</v>
      </c>
      <c r="E699" s="2">
        <v>600.36</v>
      </c>
    </row>
    <row r="700" spans="1:5" x14ac:dyDescent="0.25">
      <c r="A700" t="s">
        <v>940</v>
      </c>
      <c r="B700" t="s">
        <v>593</v>
      </c>
      <c r="C700" s="1">
        <v>45745</v>
      </c>
      <c r="D700" t="s">
        <v>68</v>
      </c>
      <c r="E700" s="2">
        <v>3201.76</v>
      </c>
    </row>
    <row r="701" spans="1:5" x14ac:dyDescent="0.25">
      <c r="A701" t="s">
        <v>941</v>
      </c>
      <c r="B701" t="s">
        <v>505</v>
      </c>
      <c r="C701" s="1">
        <v>45965</v>
      </c>
      <c r="D701" t="s">
        <v>7</v>
      </c>
      <c r="E701" s="2">
        <v>7225.72</v>
      </c>
    </row>
    <row r="702" spans="1:5" x14ac:dyDescent="0.25">
      <c r="A702" t="s">
        <v>942</v>
      </c>
      <c r="B702" t="s">
        <v>760</v>
      </c>
      <c r="C702" s="1">
        <v>45852</v>
      </c>
      <c r="D702" t="s">
        <v>10</v>
      </c>
      <c r="E702" s="2">
        <v>3118.11</v>
      </c>
    </row>
    <row r="703" spans="1:5" x14ac:dyDescent="0.25">
      <c r="A703" t="s">
        <v>943</v>
      </c>
      <c r="B703" t="s">
        <v>70</v>
      </c>
      <c r="C703" s="1">
        <v>45667</v>
      </c>
      <c r="D703" t="s">
        <v>34</v>
      </c>
      <c r="E703" s="2">
        <v>1250.8</v>
      </c>
    </row>
    <row r="704" spans="1:5" x14ac:dyDescent="0.25">
      <c r="A704" t="s">
        <v>944</v>
      </c>
      <c r="B704" t="s">
        <v>503</v>
      </c>
      <c r="C704" s="1">
        <v>45627</v>
      </c>
      <c r="D704" t="s">
        <v>10</v>
      </c>
      <c r="E704" s="2">
        <v>5974.33</v>
      </c>
    </row>
    <row r="705" spans="1:5" x14ac:dyDescent="0.25">
      <c r="A705" t="s">
        <v>945</v>
      </c>
      <c r="B705" t="s">
        <v>56</v>
      </c>
      <c r="C705" s="1">
        <v>45908</v>
      </c>
      <c r="D705" t="s">
        <v>13</v>
      </c>
      <c r="E705" s="2">
        <v>1339.36</v>
      </c>
    </row>
    <row r="706" spans="1:5" x14ac:dyDescent="0.25">
      <c r="A706" t="s">
        <v>946</v>
      </c>
      <c r="B706" t="s">
        <v>547</v>
      </c>
      <c r="C706" s="1">
        <v>46015</v>
      </c>
      <c r="D706" t="s">
        <v>27</v>
      </c>
      <c r="E706" s="2">
        <v>8943.0499999999993</v>
      </c>
    </row>
    <row r="707" spans="1:5" x14ac:dyDescent="0.25">
      <c r="A707" t="s">
        <v>947</v>
      </c>
      <c r="B707" t="s">
        <v>948</v>
      </c>
      <c r="C707" s="1">
        <v>45682</v>
      </c>
      <c r="D707" t="s">
        <v>10</v>
      </c>
      <c r="E707" s="2">
        <v>7499.56</v>
      </c>
    </row>
    <row r="708" spans="1:5" x14ac:dyDescent="0.25">
      <c r="A708" t="s">
        <v>949</v>
      </c>
      <c r="B708" t="s">
        <v>716</v>
      </c>
      <c r="C708" s="1">
        <v>45992</v>
      </c>
      <c r="D708" t="s">
        <v>63</v>
      </c>
      <c r="E708" s="2">
        <v>739.99</v>
      </c>
    </row>
    <row r="709" spans="1:5" x14ac:dyDescent="0.25">
      <c r="A709" t="s">
        <v>950</v>
      </c>
      <c r="B709" t="s">
        <v>253</v>
      </c>
      <c r="C709" s="1">
        <v>45676</v>
      </c>
      <c r="D709" t="s">
        <v>63</v>
      </c>
      <c r="E709" s="2">
        <v>8323.2099999999991</v>
      </c>
    </row>
    <row r="710" spans="1:5" x14ac:dyDescent="0.25">
      <c r="A710" t="s">
        <v>951</v>
      </c>
      <c r="B710" t="s">
        <v>952</v>
      </c>
      <c r="C710" s="1">
        <v>45831</v>
      </c>
      <c r="D710" t="s">
        <v>13</v>
      </c>
      <c r="E710" s="2">
        <v>6186.57</v>
      </c>
    </row>
    <row r="711" spans="1:5" x14ac:dyDescent="0.25">
      <c r="A711" t="s">
        <v>953</v>
      </c>
      <c r="B711" t="s">
        <v>760</v>
      </c>
      <c r="C711" s="1">
        <v>45576</v>
      </c>
      <c r="D711" t="s">
        <v>63</v>
      </c>
      <c r="E711" s="2">
        <v>2928.76</v>
      </c>
    </row>
    <row r="712" spans="1:5" x14ac:dyDescent="0.25">
      <c r="A712" t="s">
        <v>954</v>
      </c>
      <c r="B712" t="s">
        <v>627</v>
      </c>
      <c r="C712" s="1">
        <v>45438</v>
      </c>
      <c r="D712" t="s">
        <v>34</v>
      </c>
      <c r="E712" s="2">
        <v>2658.24</v>
      </c>
    </row>
    <row r="713" spans="1:5" x14ac:dyDescent="0.25">
      <c r="A713" t="s">
        <v>955</v>
      </c>
      <c r="B713" t="s">
        <v>956</v>
      </c>
      <c r="C713" s="1">
        <v>45684</v>
      </c>
      <c r="D713" t="s">
        <v>63</v>
      </c>
      <c r="E713" s="2">
        <v>3182.53</v>
      </c>
    </row>
    <row r="714" spans="1:5" x14ac:dyDescent="0.25">
      <c r="A714" t="s">
        <v>957</v>
      </c>
      <c r="B714" t="s">
        <v>284</v>
      </c>
      <c r="C714" s="1">
        <v>45848</v>
      </c>
      <c r="D714" t="s">
        <v>68</v>
      </c>
      <c r="E714" s="2">
        <v>4975.17</v>
      </c>
    </row>
    <row r="715" spans="1:5" x14ac:dyDescent="0.25">
      <c r="A715" t="s">
        <v>958</v>
      </c>
      <c r="B715" t="s">
        <v>80</v>
      </c>
      <c r="C715" s="1">
        <v>45692</v>
      </c>
      <c r="D715" t="s">
        <v>27</v>
      </c>
      <c r="E715" s="2">
        <v>5970.29</v>
      </c>
    </row>
    <row r="716" spans="1:5" x14ac:dyDescent="0.25">
      <c r="A716" t="s">
        <v>959</v>
      </c>
      <c r="B716" t="s">
        <v>286</v>
      </c>
      <c r="C716" s="1">
        <v>45538</v>
      </c>
      <c r="D716" t="s">
        <v>63</v>
      </c>
      <c r="E716" s="2">
        <v>3956.93</v>
      </c>
    </row>
    <row r="717" spans="1:5" x14ac:dyDescent="0.25">
      <c r="A717" t="s">
        <v>960</v>
      </c>
      <c r="B717" t="s">
        <v>272</v>
      </c>
      <c r="C717" s="1">
        <v>45638</v>
      </c>
      <c r="D717" t="s">
        <v>16</v>
      </c>
      <c r="E717" s="2">
        <v>4858.92</v>
      </c>
    </row>
    <row r="718" spans="1:5" x14ac:dyDescent="0.25">
      <c r="A718" t="s">
        <v>961</v>
      </c>
      <c r="B718" t="s">
        <v>152</v>
      </c>
      <c r="C718" s="1">
        <v>45685</v>
      </c>
      <c r="D718" t="s">
        <v>10</v>
      </c>
      <c r="E718" s="2">
        <v>8257.0499999999993</v>
      </c>
    </row>
    <row r="719" spans="1:5" x14ac:dyDescent="0.25">
      <c r="A719" t="s">
        <v>962</v>
      </c>
      <c r="B719" t="s">
        <v>242</v>
      </c>
      <c r="C719" s="1">
        <v>45722</v>
      </c>
      <c r="D719" t="s">
        <v>63</v>
      </c>
      <c r="E719" s="2">
        <v>2366.1</v>
      </c>
    </row>
    <row r="720" spans="1:5" x14ac:dyDescent="0.25">
      <c r="A720" t="s">
        <v>963</v>
      </c>
      <c r="B720" t="s">
        <v>964</v>
      </c>
      <c r="C720" s="1">
        <v>45933</v>
      </c>
      <c r="D720" t="s">
        <v>68</v>
      </c>
      <c r="E720" s="2">
        <v>3037.68</v>
      </c>
    </row>
    <row r="721" spans="1:5" x14ac:dyDescent="0.25">
      <c r="A721" t="s">
        <v>965</v>
      </c>
      <c r="B721" t="s">
        <v>342</v>
      </c>
      <c r="C721" s="1">
        <v>45421</v>
      </c>
      <c r="D721" t="s">
        <v>13</v>
      </c>
      <c r="E721" s="2">
        <v>6888.02</v>
      </c>
    </row>
    <row r="722" spans="1:5" x14ac:dyDescent="0.25">
      <c r="A722" t="s">
        <v>966</v>
      </c>
      <c r="B722" t="s">
        <v>36</v>
      </c>
      <c r="C722" s="1">
        <v>45658</v>
      </c>
      <c r="D722" t="s">
        <v>63</v>
      </c>
      <c r="E722" s="2">
        <v>6026.21</v>
      </c>
    </row>
    <row r="723" spans="1:5" x14ac:dyDescent="0.25">
      <c r="A723" t="s">
        <v>967</v>
      </c>
      <c r="B723" t="s">
        <v>853</v>
      </c>
      <c r="C723" s="1">
        <v>45329</v>
      </c>
      <c r="D723" t="s">
        <v>63</v>
      </c>
      <c r="E723" s="2">
        <v>1959.08</v>
      </c>
    </row>
    <row r="724" spans="1:5" x14ac:dyDescent="0.25">
      <c r="A724" t="s">
        <v>968</v>
      </c>
      <c r="B724" t="s">
        <v>282</v>
      </c>
      <c r="C724" s="1">
        <v>45678</v>
      </c>
      <c r="D724" t="s">
        <v>63</v>
      </c>
      <c r="E724" s="2">
        <v>4049.14</v>
      </c>
    </row>
    <row r="725" spans="1:5" x14ac:dyDescent="0.25">
      <c r="A725" t="s">
        <v>969</v>
      </c>
      <c r="B725" t="s">
        <v>494</v>
      </c>
      <c r="C725" s="1">
        <v>45324</v>
      </c>
      <c r="D725" t="s">
        <v>16</v>
      </c>
      <c r="E725" s="2">
        <v>4089.67</v>
      </c>
    </row>
    <row r="726" spans="1:5" x14ac:dyDescent="0.25">
      <c r="A726" t="s">
        <v>970</v>
      </c>
      <c r="B726" t="s">
        <v>148</v>
      </c>
      <c r="C726" s="1">
        <v>45891</v>
      </c>
      <c r="D726" t="s">
        <v>13</v>
      </c>
      <c r="E726" s="2">
        <v>2624.91</v>
      </c>
    </row>
    <row r="727" spans="1:5" x14ac:dyDescent="0.25">
      <c r="A727" t="s">
        <v>971</v>
      </c>
      <c r="B727" t="s">
        <v>662</v>
      </c>
      <c r="C727" s="1">
        <v>45379</v>
      </c>
      <c r="D727" t="s">
        <v>68</v>
      </c>
      <c r="E727" s="2">
        <v>8157.25</v>
      </c>
    </row>
    <row r="728" spans="1:5" x14ac:dyDescent="0.25">
      <c r="A728" t="s">
        <v>972</v>
      </c>
      <c r="B728" t="s">
        <v>40</v>
      </c>
      <c r="C728" s="1">
        <v>45791</v>
      </c>
      <c r="D728" t="s">
        <v>13</v>
      </c>
      <c r="E728" s="2">
        <v>9157.15</v>
      </c>
    </row>
    <row r="729" spans="1:5" x14ac:dyDescent="0.25">
      <c r="A729" t="s">
        <v>973</v>
      </c>
      <c r="B729" t="s">
        <v>360</v>
      </c>
      <c r="C729" s="1">
        <v>45426</v>
      </c>
      <c r="D729" t="s">
        <v>13</v>
      </c>
      <c r="E729" s="2">
        <v>2853.43</v>
      </c>
    </row>
    <row r="730" spans="1:5" x14ac:dyDescent="0.25">
      <c r="A730" t="s">
        <v>974</v>
      </c>
      <c r="B730" t="s">
        <v>78</v>
      </c>
      <c r="C730" s="1">
        <v>45747</v>
      </c>
      <c r="D730" t="s">
        <v>63</v>
      </c>
      <c r="E730" s="2">
        <v>1197.28</v>
      </c>
    </row>
    <row r="731" spans="1:5" x14ac:dyDescent="0.25">
      <c r="A731" t="s">
        <v>975</v>
      </c>
      <c r="B731" t="s">
        <v>124</v>
      </c>
      <c r="C731" s="1">
        <v>45989</v>
      </c>
      <c r="D731" t="s">
        <v>34</v>
      </c>
      <c r="E731" s="2">
        <v>5549.03</v>
      </c>
    </row>
    <row r="732" spans="1:5" x14ac:dyDescent="0.25">
      <c r="A732" t="s">
        <v>976</v>
      </c>
      <c r="B732" t="s">
        <v>272</v>
      </c>
      <c r="C732" s="1">
        <v>45816</v>
      </c>
      <c r="D732" t="s">
        <v>13</v>
      </c>
      <c r="E732" s="2">
        <v>5185.54</v>
      </c>
    </row>
    <row r="733" spans="1:5" x14ac:dyDescent="0.25">
      <c r="A733" t="s">
        <v>977</v>
      </c>
      <c r="B733" t="s">
        <v>275</v>
      </c>
      <c r="C733" s="1">
        <v>45610</v>
      </c>
      <c r="D733" t="s">
        <v>7</v>
      </c>
      <c r="E733" s="2">
        <v>8593.93</v>
      </c>
    </row>
    <row r="734" spans="1:5" x14ac:dyDescent="0.25">
      <c r="A734" t="s">
        <v>978</v>
      </c>
      <c r="B734" t="s">
        <v>191</v>
      </c>
      <c r="C734" s="1">
        <v>45921</v>
      </c>
      <c r="D734" t="s">
        <v>7</v>
      </c>
      <c r="E734" s="2">
        <v>3407.06</v>
      </c>
    </row>
    <row r="735" spans="1:5" x14ac:dyDescent="0.25">
      <c r="A735" t="s">
        <v>979</v>
      </c>
      <c r="B735" t="s">
        <v>74</v>
      </c>
      <c r="C735" s="1">
        <v>45599</v>
      </c>
      <c r="D735" t="s">
        <v>34</v>
      </c>
      <c r="E735" s="2">
        <v>8079.57</v>
      </c>
    </row>
    <row r="736" spans="1:5" x14ac:dyDescent="0.25">
      <c r="A736" t="s">
        <v>980</v>
      </c>
      <c r="B736" t="s">
        <v>690</v>
      </c>
      <c r="C736" s="1">
        <v>45504</v>
      </c>
      <c r="D736" t="s">
        <v>68</v>
      </c>
      <c r="E736" s="2">
        <v>5676.24</v>
      </c>
    </row>
    <row r="737" spans="1:5" x14ac:dyDescent="0.25">
      <c r="A737" t="s">
        <v>981</v>
      </c>
      <c r="B737" t="s">
        <v>952</v>
      </c>
      <c r="C737" s="1">
        <v>45972</v>
      </c>
      <c r="D737" t="s">
        <v>27</v>
      </c>
      <c r="E737" s="2">
        <v>2629.89</v>
      </c>
    </row>
    <row r="738" spans="1:5" x14ac:dyDescent="0.25">
      <c r="A738" t="s">
        <v>982</v>
      </c>
      <c r="B738" t="s">
        <v>135</v>
      </c>
      <c r="C738" s="1">
        <v>45525</v>
      </c>
      <c r="D738" t="s">
        <v>68</v>
      </c>
      <c r="E738" s="2">
        <v>2929.83</v>
      </c>
    </row>
    <row r="739" spans="1:5" x14ac:dyDescent="0.25">
      <c r="A739" t="s">
        <v>983</v>
      </c>
      <c r="B739" t="s">
        <v>398</v>
      </c>
      <c r="C739" s="1">
        <v>45669</v>
      </c>
      <c r="D739" t="s">
        <v>10</v>
      </c>
      <c r="E739" s="2">
        <v>568.79</v>
      </c>
    </row>
    <row r="740" spans="1:5" x14ac:dyDescent="0.25">
      <c r="A740" t="s">
        <v>984</v>
      </c>
      <c r="B740" t="s">
        <v>185</v>
      </c>
      <c r="C740" s="1">
        <v>45394</v>
      </c>
      <c r="D740" t="s">
        <v>13</v>
      </c>
      <c r="E740" s="2">
        <v>6743.25</v>
      </c>
    </row>
    <row r="741" spans="1:5" x14ac:dyDescent="0.25">
      <c r="A741" t="s">
        <v>985</v>
      </c>
      <c r="B741" t="s">
        <v>851</v>
      </c>
      <c r="C741" s="1">
        <v>45535</v>
      </c>
      <c r="D741" t="s">
        <v>63</v>
      </c>
      <c r="E741" s="2">
        <v>3448.65</v>
      </c>
    </row>
    <row r="742" spans="1:5" x14ac:dyDescent="0.25">
      <c r="A742" t="s">
        <v>986</v>
      </c>
      <c r="B742" t="s">
        <v>593</v>
      </c>
      <c r="C742" s="1">
        <v>45853</v>
      </c>
      <c r="D742" t="s">
        <v>16</v>
      </c>
      <c r="E742" s="2">
        <v>3791.62</v>
      </c>
    </row>
    <row r="743" spans="1:5" x14ac:dyDescent="0.25">
      <c r="A743" t="s">
        <v>987</v>
      </c>
      <c r="B743" t="s">
        <v>176</v>
      </c>
      <c r="C743" s="1">
        <v>45322</v>
      </c>
      <c r="D743" t="s">
        <v>63</v>
      </c>
      <c r="E743" s="2">
        <v>5998.92</v>
      </c>
    </row>
    <row r="744" spans="1:5" x14ac:dyDescent="0.25">
      <c r="A744" t="s">
        <v>988</v>
      </c>
      <c r="B744" t="s">
        <v>430</v>
      </c>
      <c r="C744" s="1">
        <v>45945</v>
      </c>
      <c r="D744" t="s">
        <v>63</v>
      </c>
      <c r="E744" s="2">
        <v>7466.55</v>
      </c>
    </row>
    <row r="745" spans="1:5" x14ac:dyDescent="0.25">
      <c r="A745" t="s">
        <v>989</v>
      </c>
      <c r="B745" t="s">
        <v>22</v>
      </c>
      <c r="C745" s="1">
        <v>45421</v>
      </c>
      <c r="D745" t="s">
        <v>34</v>
      </c>
      <c r="E745" s="2">
        <v>8947.16</v>
      </c>
    </row>
    <row r="746" spans="1:5" x14ac:dyDescent="0.25">
      <c r="A746" t="s">
        <v>990</v>
      </c>
      <c r="B746" t="s">
        <v>277</v>
      </c>
      <c r="C746" s="1">
        <v>45847</v>
      </c>
      <c r="D746" t="s">
        <v>63</v>
      </c>
      <c r="E746" s="2">
        <v>6609.73</v>
      </c>
    </row>
    <row r="747" spans="1:5" x14ac:dyDescent="0.25">
      <c r="A747" t="s">
        <v>991</v>
      </c>
      <c r="B747" t="s">
        <v>240</v>
      </c>
      <c r="C747" s="1">
        <v>45454</v>
      </c>
      <c r="D747" t="s">
        <v>63</v>
      </c>
      <c r="E747" s="2">
        <v>1890.64</v>
      </c>
    </row>
    <row r="748" spans="1:5" x14ac:dyDescent="0.25">
      <c r="A748" t="s">
        <v>992</v>
      </c>
      <c r="B748" t="s">
        <v>446</v>
      </c>
      <c r="C748" s="1">
        <v>45327</v>
      </c>
      <c r="D748" t="s">
        <v>63</v>
      </c>
      <c r="E748" s="2">
        <v>5769.76</v>
      </c>
    </row>
    <row r="749" spans="1:5" x14ac:dyDescent="0.25">
      <c r="A749" t="s">
        <v>993</v>
      </c>
      <c r="B749" t="s">
        <v>994</v>
      </c>
      <c r="C749" s="1">
        <v>45448</v>
      </c>
      <c r="D749" t="s">
        <v>34</v>
      </c>
      <c r="E749" s="2">
        <v>9070.18</v>
      </c>
    </row>
    <row r="750" spans="1:5" x14ac:dyDescent="0.25">
      <c r="A750" t="s">
        <v>995</v>
      </c>
      <c r="B750" t="s">
        <v>42</v>
      </c>
      <c r="C750" s="1">
        <v>45436</v>
      </c>
      <c r="D750" t="s">
        <v>68</v>
      </c>
      <c r="E750" s="2">
        <v>7562.08</v>
      </c>
    </row>
    <row r="751" spans="1:5" x14ac:dyDescent="0.25">
      <c r="A751" t="s">
        <v>996</v>
      </c>
      <c r="B751" t="s">
        <v>339</v>
      </c>
      <c r="C751" s="1">
        <v>45483</v>
      </c>
      <c r="D751" t="s">
        <v>68</v>
      </c>
      <c r="E751" s="2">
        <v>7244.24</v>
      </c>
    </row>
    <row r="752" spans="1:5" x14ac:dyDescent="0.25">
      <c r="A752" t="s">
        <v>997</v>
      </c>
      <c r="B752" t="s">
        <v>52</v>
      </c>
      <c r="C752" s="1">
        <v>45329</v>
      </c>
      <c r="D752" t="s">
        <v>68</v>
      </c>
      <c r="E752" s="2">
        <v>9237.5499999999993</v>
      </c>
    </row>
    <row r="753" spans="1:5" x14ac:dyDescent="0.25">
      <c r="A753" t="s">
        <v>998</v>
      </c>
      <c r="B753" t="s">
        <v>905</v>
      </c>
      <c r="C753" s="1">
        <v>45355</v>
      </c>
      <c r="D753" t="s">
        <v>68</v>
      </c>
      <c r="E753" s="2">
        <v>9298.9599999999991</v>
      </c>
    </row>
    <row r="754" spans="1:5" x14ac:dyDescent="0.25">
      <c r="A754" t="s">
        <v>999</v>
      </c>
      <c r="B754" t="s">
        <v>407</v>
      </c>
      <c r="C754" s="1">
        <v>45809</v>
      </c>
      <c r="D754" t="s">
        <v>68</v>
      </c>
      <c r="E754" s="2">
        <v>1440.48</v>
      </c>
    </row>
    <row r="755" spans="1:5" x14ac:dyDescent="0.25">
      <c r="A755" t="s">
        <v>1000</v>
      </c>
      <c r="B755" t="s">
        <v>564</v>
      </c>
      <c r="C755" s="1">
        <v>45973</v>
      </c>
      <c r="D755" t="s">
        <v>34</v>
      </c>
      <c r="E755" s="2">
        <v>3649.38</v>
      </c>
    </row>
    <row r="756" spans="1:5" x14ac:dyDescent="0.25">
      <c r="A756" t="s">
        <v>1001</v>
      </c>
      <c r="B756" t="s">
        <v>511</v>
      </c>
      <c r="C756" s="1">
        <v>45512</v>
      </c>
      <c r="D756" t="s">
        <v>68</v>
      </c>
      <c r="E756" s="2">
        <v>4015.96</v>
      </c>
    </row>
    <row r="757" spans="1:5" x14ac:dyDescent="0.25">
      <c r="A757" t="s">
        <v>1002</v>
      </c>
      <c r="B757" t="s">
        <v>90</v>
      </c>
      <c r="C757" s="1">
        <v>45736</v>
      </c>
      <c r="D757" t="s">
        <v>16</v>
      </c>
      <c r="E757" s="2">
        <v>4834.6499999999996</v>
      </c>
    </row>
    <row r="758" spans="1:5" x14ac:dyDescent="0.25">
      <c r="A758" t="s">
        <v>1003</v>
      </c>
      <c r="B758" t="s">
        <v>258</v>
      </c>
      <c r="C758" s="1">
        <v>45404</v>
      </c>
      <c r="D758" t="s">
        <v>34</v>
      </c>
      <c r="E758" s="2">
        <v>3035.69</v>
      </c>
    </row>
    <row r="759" spans="1:5" x14ac:dyDescent="0.25">
      <c r="A759" t="s">
        <v>1004</v>
      </c>
      <c r="B759" t="s">
        <v>550</v>
      </c>
      <c r="C759" s="1">
        <v>45330</v>
      </c>
      <c r="D759" t="s">
        <v>68</v>
      </c>
      <c r="E759" s="2">
        <v>272.55</v>
      </c>
    </row>
    <row r="760" spans="1:5" x14ac:dyDescent="0.25">
      <c r="A760" t="s">
        <v>1005</v>
      </c>
      <c r="B760" t="s">
        <v>790</v>
      </c>
      <c r="C760" s="1">
        <v>45862</v>
      </c>
      <c r="D760" t="s">
        <v>13</v>
      </c>
      <c r="E760" s="2">
        <v>5332.04</v>
      </c>
    </row>
    <row r="761" spans="1:5" x14ac:dyDescent="0.25">
      <c r="A761" t="s">
        <v>1006</v>
      </c>
      <c r="B761" t="s">
        <v>786</v>
      </c>
      <c r="C761" s="1">
        <v>45678</v>
      </c>
      <c r="D761" t="s">
        <v>10</v>
      </c>
      <c r="E761" s="2">
        <v>2214.4</v>
      </c>
    </row>
    <row r="762" spans="1:5" x14ac:dyDescent="0.25">
      <c r="A762" t="s">
        <v>1007</v>
      </c>
      <c r="B762" t="s">
        <v>214</v>
      </c>
      <c r="C762" s="1">
        <v>45379</v>
      </c>
      <c r="D762" t="s">
        <v>27</v>
      </c>
      <c r="E762" s="2">
        <v>8877.83</v>
      </c>
    </row>
    <row r="763" spans="1:5" x14ac:dyDescent="0.25">
      <c r="A763" t="s">
        <v>1008</v>
      </c>
      <c r="B763" t="s">
        <v>58</v>
      </c>
      <c r="C763" s="1">
        <v>45918</v>
      </c>
      <c r="D763" t="s">
        <v>63</v>
      </c>
      <c r="E763" s="2">
        <v>544.88</v>
      </c>
    </row>
    <row r="764" spans="1:5" x14ac:dyDescent="0.25">
      <c r="A764" t="s">
        <v>1009</v>
      </c>
      <c r="B764" t="s">
        <v>251</v>
      </c>
      <c r="C764" s="1">
        <v>45569</v>
      </c>
      <c r="D764" t="s">
        <v>68</v>
      </c>
      <c r="E764" s="2">
        <v>9948.7900000000009</v>
      </c>
    </row>
    <row r="765" spans="1:5" x14ac:dyDescent="0.25">
      <c r="A765" t="s">
        <v>1010</v>
      </c>
      <c r="B765" t="s">
        <v>722</v>
      </c>
      <c r="C765" s="1">
        <v>45948</v>
      </c>
      <c r="D765" t="s">
        <v>34</v>
      </c>
      <c r="E765" s="2">
        <v>4703.46</v>
      </c>
    </row>
    <row r="766" spans="1:5" x14ac:dyDescent="0.25">
      <c r="A766" t="s">
        <v>1011</v>
      </c>
      <c r="B766" t="s">
        <v>85</v>
      </c>
      <c r="C766" s="1">
        <v>45526</v>
      </c>
      <c r="D766" t="s">
        <v>27</v>
      </c>
      <c r="E766" s="2">
        <v>448.3</v>
      </c>
    </row>
    <row r="767" spans="1:5" x14ac:dyDescent="0.25">
      <c r="A767" t="s">
        <v>1012</v>
      </c>
      <c r="B767" t="s">
        <v>385</v>
      </c>
      <c r="C767" s="1">
        <v>45356</v>
      </c>
      <c r="D767" t="s">
        <v>63</v>
      </c>
      <c r="E767" s="2">
        <v>8214.11</v>
      </c>
    </row>
    <row r="768" spans="1:5" x14ac:dyDescent="0.25">
      <c r="A768" t="s">
        <v>1013</v>
      </c>
      <c r="B768" t="s">
        <v>38</v>
      </c>
      <c r="C768" s="1">
        <v>45781</v>
      </c>
      <c r="D768" t="s">
        <v>16</v>
      </c>
      <c r="E768" s="2">
        <v>5039.16</v>
      </c>
    </row>
    <row r="769" spans="1:5" x14ac:dyDescent="0.25">
      <c r="A769" t="s">
        <v>1014</v>
      </c>
      <c r="B769" t="s">
        <v>313</v>
      </c>
      <c r="C769" s="1">
        <v>45621</v>
      </c>
      <c r="D769" t="s">
        <v>7</v>
      </c>
      <c r="E769" s="2">
        <v>4608.59</v>
      </c>
    </row>
    <row r="770" spans="1:5" x14ac:dyDescent="0.25">
      <c r="A770" t="s">
        <v>1015</v>
      </c>
      <c r="B770" t="s">
        <v>181</v>
      </c>
      <c r="C770" s="1">
        <v>45423</v>
      </c>
      <c r="D770" t="s">
        <v>27</v>
      </c>
      <c r="E770" s="2">
        <v>6989.81</v>
      </c>
    </row>
    <row r="771" spans="1:5" x14ac:dyDescent="0.25">
      <c r="A771" t="s">
        <v>1016</v>
      </c>
      <c r="B771" t="s">
        <v>377</v>
      </c>
      <c r="C771" s="1">
        <v>45797</v>
      </c>
      <c r="D771" t="s">
        <v>27</v>
      </c>
      <c r="E771" s="2">
        <v>790.67</v>
      </c>
    </row>
    <row r="772" spans="1:5" x14ac:dyDescent="0.25">
      <c r="A772" t="s">
        <v>1017</v>
      </c>
      <c r="B772" t="s">
        <v>100</v>
      </c>
      <c r="C772" s="1">
        <v>45744</v>
      </c>
      <c r="D772" t="s">
        <v>34</v>
      </c>
      <c r="E772" s="2">
        <v>1870.8</v>
      </c>
    </row>
    <row r="773" spans="1:5" x14ac:dyDescent="0.25">
      <c r="A773" t="s">
        <v>1018</v>
      </c>
      <c r="B773" t="s">
        <v>22</v>
      </c>
      <c r="C773" s="1">
        <v>45894</v>
      </c>
      <c r="D773" t="s">
        <v>63</v>
      </c>
      <c r="E773" s="2">
        <v>9350.32</v>
      </c>
    </row>
    <row r="774" spans="1:5" x14ac:dyDescent="0.25">
      <c r="A774" t="s">
        <v>1019</v>
      </c>
      <c r="B774" t="s">
        <v>80</v>
      </c>
      <c r="C774" s="1">
        <v>45913</v>
      </c>
      <c r="D774" t="s">
        <v>34</v>
      </c>
      <c r="E774" s="2">
        <v>1589.45</v>
      </c>
    </row>
    <row r="775" spans="1:5" x14ac:dyDescent="0.25">
      <c r="A775" t="s">
        <v>1020</v>
      </c>
      <c r="B775" t="s">
        <v>786</v>
      </c>
      <c r="C775" s="1">
        <v>45693</v>
      </c>
      <c r="D775" t="s">
        <v>16</v>
      </c>
      <c r="E775" s="2">
        <v>6589.42</v>
      </c>
    </row>
    <row r="776" spans="1:5" x14ac:dyDescent="0.25">
      <c r="A776" t="s">
        <v>1021</v>
      </c>
      <c r="B776" t="s">
        <v>270</v>
      </c>
      <c r="C776" s="1">
        <v>45364</v>
      </c>
      <c r="D776" t="s">
        <v>13</v>
      </c>
      <c r="E776" s="2">
        <v>1695.3</v>
      </c>
    </row>
    <row r="777" spans="1:5" x14ac:dyDescent="0.25">
      <c r="A777" t="s">
        <v>1022</v>
      </c>
      <c r="B777" t="s">
        <v>478</v>
      </c>
      <c r="C777" s="1">
        <v>45861</v>
      </c>
      <c r="D777" t="s">
        <v>16</v>
      </c>
      <c r="E777" s="2">
        <v>3227.55</v>
      </c>
    </row>
    <row r="778" spans="1:5" x14ac:dyDescent="0.25">
      <c r="A778" t="s">
        <v>1023</v>
      </c>
      <c r="B778" t="s">
        <v>735</v>
      </c>
      <c r="C778" s="1">
        <v>45340</v>
      </c>
      <c r="D778" t="s">
        <v>27</v>
      </c>
      <c r="E778" s="2">
        <v>3273.83</v>
      </c>
    </row>
    <row r="779" spans="1:5" x14ac:dyDescent="0.25">
      <c r="A779" t="s">
        <v>1024</v>
      </c>
      <c r="B779" t="s">
        <v>556</v>
      </c>
      <c r="C779" s="1">
        <v>45785</v>
      </c>
      <c r="D779" t="s">
        <v>10</v>
      </c>
      <c r="E779" s="2">
        <v>4169.8999999999996</v>
      </c>
    </row>
    <row r="780" spans="1:5" x14ac:dyDescent="0.25">
      <c r="A780" t="s">
        <v>1025</v>
      </c>
      <c r="B780" t="s">
        <v>50</v>
      </c>
      <c r="C780" s="1">
        <v>45932</v>
      </c>
      <c r="D780" t="s">
        <v>63</v>
      </c>
      <c r="E780" s="2">
        <v>9133.77</v>
      </c>
    </row>
    <row r="781" spans="1:5" x14ac:dyDescent="0.25">
      <c r="A781" t="s">
        <v>1026</v>
      </c>
      <c r="B781" t="s">
        <v>313</v>
      </c>
      <c r="C781" s="1">
        <v>45512</v>
      </c>
      <c r="D781" t="s">
        <v>68</v>
      </c>
      <c r="E781" s="2">
        <v>2976.51</v>
      </c>
    </row>
    <row r="782" spans="1:5" x14ac:dyDescent="0.25">
      <c r="A782" t="s">
        <v>1027</v>
      </c>
      <c r="B782" t="s">
        <v>131</v>
      </c>
      <c r="C782" s="1">
        <v>45383</v>
      </c>
      <c r="D782" t="s">
        <v>10</v>
      </c>
      <c r="E782" s="2">
        <v>347.62</v>
      </c>
    </row>
    <row r="783" spans="1:5" x14ac:dyDescent="0.25">
      <c r="A783" t="s">
        <v>1028</v>
      </c>
      <c r="B783" t="s">
        <v>1029</v>
      </c>
      <c r="C783" s="1">
        <v>45381</v>
      </c>
      <c r="D783" t="s">
        <v>34</v>
      </c>
      <c r="E783" s="2">
        <v>8636.08</v>
      </c>
    </row>
    <row r="784" spans="1:5" x14ac:dyDescent="0.25">
      <c r="A784" t="s">
        <v>1030</v>
      </c>
      <c r="B784" t="s">
        <v>235</v>
      </c>
      <c r="C784" s="1">
        <v>45435</v>
      </c>
      <c r="D784" t="s">
        <v>16</v>
      </c>
      <c r="E784" s="2">
        <v>8527.59</v>
      </c>
    </row>
    <row r="785" spans="1:5" x14ac:dyDescent="0.25">
      <c r="A785" t="s">
        <v>1031</v>
      </c>
      <c r="B785" t="s">
        <v>293</v>
      </c>
      <c r="C785" s="1">
        <v>45910</v>
      </c>
      <c r="D785" t="s">
        <v>34</v>
      </c>
      <c r="E785" s="2">
        <v>8484.52</v>
      </c>
    </row>
    <row r="786" spans="1:5" x14ac:dyDescent="0.25">
      <c r="A786" t="s">
        <v>1032</v>
      </c>
      <c r="B786" t="s">
        <v>566</v>
      </c>
      <c r="C786" s="1">
        <v>45641</v>
      </c>
      <c r="D786" t="s">
        <v>13</v>
      </c>
      <c r="E786" s="2">
        <v>1395.66</v>
      </c>
    </row>
    <row r="787" spans="1:5" x14ac:dyDescent="0.25">
      <c r="A787" t="s">
        <v>1033</v>
      </c>
      <c r="B787" t="s">
        <v>76</v>
      </c>
      <c r="C787" s="1">
        <v>45416</v>
      </c>
      <c r="D787" t="s">
        <v>27</v>
      </c>
      <c r="E787" s="2">
        <v>74.27</v>
      </c>
    </row>
    <row r="788" spans="1:5" x14ac:dyDescent="0.25">
      <c r="A788" t="s">
        <v>1034</v>
      </c>
      <c r="B788" t="s">
        <v>207</v>
      </c>
      <c r="C788" s="1">
        <v>45485</v>
      </c>
      <c r="D788" t="s">
        <v>68</v>
      </c>
      <c r="E788" s="2">
        <v>6658.87</v>
      </c>
    </row>
    <row r="789" spans="1:5" x14ac:dyDescent="0.25">
      <c r="A789" t="s">
        <v>1035</v>
      </c>
      <c r="B789" t="s">
        <v>337</v>
      </c>
      <c r="C789" s="1">
        <v>45326</v>
      </c>
      <c r="D789" t="s">
        <v>7</v>
      </c>
      <c r="E789" s="2">
        <v>9487.7199999999993</v>
      </c>
    </row>
    <row r="790" spans="1:5" x14ac:dyDescent="0.25">
      <c r="A790" t="s">
        <v>1036</v>
      </c>
      <c r="B790" t="s">
        <v>767</v>
      </c>
      <c r="C790" s="1">
        <v>45833</v>
      </c>
      <c r="D790" t="s">
        <v>27</v>
      </c>
      <c r="E790" s="2">
        <v>6098.08</v>
      </c>
    </row>
    <row r="791" spans="1:5" x14ac:dyDescent="0.25">
      <c r="A791" t="s">
        <v>1037</v>
      </c>
      <c r="B791" t="s">
        <v>486</v>
      </c>
      <c r="C791" s="1">
        <v>45326</v>
      </c>
      <c r="D791" t="s">
        <v>63</v>
      </c>
      <c r="E791" s="2">
        <v>997.36</v>
      </c>
    </row>
    <row r="792" spans="1:5" x14ac:dyDescent="0.25">
      <c r="A792" t="s">
        <v>1038</v>
      </c>
      <c r="B792" t="s">
        <v>56</v>
      </c>
      <c r="C792" s="1">
        <v>45777</v>
      </c>
      <c r="D792" t="s">
        <v>63</v>
      </c>
      <c r="E792" s="2">
        <v>8946.67</v>
      </c>
    </row>
    <row r="793" spans="1:5" x14ac:dyDescent="0.25">
      <c r="A793" t="s">
        <v>1039</v>
      </c>
      <c r="B793" t="s">
        <v>542</v>
      </c>
      <c r="C793" s="1">
        <v>45525</v>
      </c>
      <c r="D793" t="s">
        <v>10</v>
      </c>
      <c r="E793" s="2">
        <v>7729.95</v>
      </c>
    </row>
    <row r="794" spans="1:5" x14ac:dyDescent="0.25">
      <c r="A794" t="s">
        <v>1040</v>
      </c>
      <c r="B794" t="s">
        <v>571</v>
      </c>
      <c r="C794" s="1">
        <v>45482</v>
      </c>
      <c r="D794" t="s">
        <v>13</v>
      </c>
      <c r="E794" s="2">
        <v>4138.75</v>
      </c>
    </row>
    <row r="795" spans="1:5" x14ac:dyDescent="0.25">
      <c r="A795" t="s">
        <v>1041</v>
      </c>
      <c r="B795" t="s">
        <v>131</v>
      </c>
      <c r="C795" s="1">
        <v>45892</v>
      </c>
      <c r="D795" t="s">
        <v>34</v>
      </c>
      <c r="E795" s="2">
        <v>5043.6899999999996</v>
      </c>
    </row>
    <row r="796" spans="1:5" x14ac:dyDescent="0.25">
      <c r="A796" t="s">
        <v>1042</v>
      </c>
      <c r="B796" t="s">
        <v>196</v>
      </c>
      <c r="C796" s="1">
        <v>45450</v>
      </c>
      <c r="D796" t="s">
        <v>10</v>
      </c>
      <c r="E796" s="2">
        <v>7087.33</v>
      </c>
    </row>
    <row r="797" spans="1:5" x14ac:dyDescent="0.25">
      <c r="A797" t="s">
        <v>1043</v>
      </c>
      <c r="B797" t="s">
        <v>62</v>
      </c>
      <c r="C797" s="1">
        <v>46017</v>
      </c>
      <c r="D797" t="s">
        <v>7</v>
      </c>
      <c r="E797" s="2">
        <v>2577.56</v>
      </c>
    </row>
    <row r="798" spans="1:5" x14ac:dyDescent="0.25">
      <c r="A798" t="s">
        <v>1044</v>
      </c>
      <c r="B798" t="s">
        <v>6</v>
      </c>
      <c r="C798" s="1">
        <v>45305</v>
      </c>
      <c r="D798" t="s">
        <v>34</v>
      </c>
      <c r="E798" s="2">
        <v>9844.94</v>
      </c>
    </row>
    <row r="799" spans="1:5" x14ac:dyDescent="0.25">
      <c r="A799" t="s">
        <v>1045</v>
      </c>
      <c r="B799" t="s">
        <v>201</v>
      </c>
      <c r="C799" s="1">
        <v>45369</v>
      </c>
      <c r="D799" t="s">
        <v>10</v>
      </c>
      <c r="E799" s="2">
        <v>2797.13</v>
      </c>
    </row>
    <row r="800" spans="1:5" x14ac:dyDescent="0.25">
      <c r="A800" t="s">
        <v>1046</v>
      </c>
      <c r="B800" t="s">
        <v>553</v>
      </c>
      <c r="C800" s="1">
        <v>45812</v>
      </c>
      <c r="D800" t="s">
        <v>10</v>
      </c>
      <c r="E800" s="2">
        <v>2139.2399999999998</v>
      </c>
    </row>
    <row r="801" spans="1:5" x14ac:dyDescent="0.25">
      <c r="A801" t="s">
        <v>1047</v>
      </c>
      <c r="B801" t="s">
        <v>255</v>
      </c>
      <c r="C801" s="1">
        <v>45928</v>
      </c>
      <c r="D801" t="s">
        <v>34</v>
      </c>
      <c r="E801" s="2">
        <v>156.69999999999999</v>
      </c>
    </row>
    <row r="802" spans="1:5" x14ac:dyDescent="0.25">
      <c r="A802" t="s">
        <v>1048</v>
      </c>
      <c r="B802" t="s">
        <v>124</v>
      </c>
      <c r="C802" s="1">
        <v>45541</v>
      </c>
      <c r="D802" t="s">
        <v>68</v>
      </c>
      <c r="E802" s="2">
        <v>183.31</v>
      </c>
    </row>
    <row r="803" spans="1:5" x14ac:dyDescent="0.25">
      <c r="A803" t="s">
        <v>1049</v>
      </c>
      <c r="B803" t="s">
        <v>196</v>
      </c>
      <c r="C803" s="1">
        <v>45729</v>
      </c>
      <c r="D803" t="s">
        <v>68</v>
      </c>
      <c r="E803" s="2">
        <v>8080.42</v>
      </c>
    </row>
    <row r="804" spans="1:5" x14ac:dyDescent="0.25">
      <c r="A804" t="s">
        <v>1050</v>
      </c>
      <c r="B804" t="s">
        <v>755</v>
      </c>
      <c r="C804" s="1">
        <v>45770</v>
      </c>
      <c r="D804" t="s">
        <v>10</v>
      </c>
      <c r="E804" s="2">
        <v>1358.18</v>
      </c>
    </row>
    <row r="805" spans="1:5" x14ac:dyDescent="0.25">
      <c r="A805" t="s">
        <v>1051</v>
      </c>
      <c r="B805" t="s">
        <v>542</v>
      </c>
      <c r="C805" s="1">
        <v>45743</v>
      </c>
      <c r="D805" t="s">
        <v>63</v>
      </c>
      <c r="E805" s="2">
        <v>3861.47</v>
      </c>
    </row>
    <row r="806" spans="1:5" x14ac:dyDescent="0.25">
      <c r="A806" t="s">
        <v>1052</v>
      </c>
      <c r="B806" t="s">
        <v>1053</v>
      </c>
      <c r="C806" s="1">
        <v>45894</v>
      </c>
      <c r="D806" t="s">
        <v>13</v>
      </c>
      <c r="E806" s="2">
        <v>6062.4</v>
      </c>
    </row>
    <row r="807" spans="1:5" x14ac:dyDescent="0.25">
      <c r="A807" t="s">
        <v>1054</v>
      </c>
      <c r="B807" t="s">
        <v>366</v>
      </c>
      <c r="C807" s="1">
        <v>45566</v>
      </c>
      <c r="D807" t="s">
        <v>7</v>
      </c>
      <c r="E807" s="2">
        <v>3044.11</v>
      </c>
    </row>
    <row r="808" spans="1:5" x14ac:dyDescent="0.25">
      <c r="A808" t="s">
        <v>1055</v>
      </c>
      <c r="B808" t="s">
        <v>571</v>
      </c>
      <c r="C808" s="1">
        <v>45826</v>
      </c>
      <c r="D808" t="s">
        <v>16</v>
      </c>
      <c r="E808" s="2">
        <v>8456.48</v>
      </c>
    </row>
    <row r="809" spans="1:5" x14ac:dyDescent="0.25">
      <c r="A809" t="s">
        <v>1056</v>
      </c>
      <c r="B809" t="s">
        <v>556</v>
      </c>
      <c r="C809" s="1">
        <v>46006</v>
      </c>
      <c r="D809" t="s">
        <v>16</v>
      </c>
      <c r="E809" s="2">
        <v>5411.75</v>
      </c>
    </row>
    <row r="810" spans="1:5" x14ac:dyDescent="0.25">
      <c r="A810" t="s">
        <v>1057</v>
      </c>
      <c r="B810" t="s">
        <v>83</v>
      </c>
      <c r="C810" s="1">
        <v>45561</v>
      </c>
      <c r="D810" t="s">
        <v>27</v>
      </c>
      <c r="E810" s="2">
        <v>3220.81</v>
      </c>
    </row>
    <row r="811" spans="1:5" x14ac:dyDescent="0.25">
      <c r="A811" t="s">
        <v>1058</v>
      </c>
      <c r="B811" t="s">
        <v>70</v>
      </c>
      <c r="C811" s="1">
        <v>45805</v>
      </c>
      <c r="D811" t="s">
        <v>10</v>
      </c>
      <c r="E811" s="2">
        <v>3839.51</v>
      </c>
    </row>
    <row r="812" spans="1:5" x14ac:dyDescent="0.25">
      <c r="A812" t="s">
        <v>1059</v>
      </c>
      <c r="B812" t="s">
        <v>286</v>
      </c>
      <c r="C812" s="1">
        <v>45731</v>
      </c>
      <c r="D812" t="s">
        <v>27</v>
      </c>
      <c r="E812" s="2">
        <v>1698.97</v>
      </c>
    </row>
    <row r="813" spans="1:5" x14ac:dyDescent="0.25">
      <c r="A813" t="s">
        <v>1060</v>
      </c>
      <c r="B813" t="s">
        <v>1061</v>
      </c>
      <c r="C813" s="1">
        <v>45956</v>
      </c>
      <c r="D813" t="s">
        <v>10</v>
      </c>
      <c r="E813" s="2">
        <v>197.63</v>
      </c>
    </row>
    <row r="814" spans="1:5" x14ac:dyDescent="0.25">
      <c r="A814" t="s">
        <v>1062</v>
      </c>
      <c r="B814" t="s">
        <v>36</v>
      </c>
      <c r="C814" s="1">
        <v>45453</v>
      </c>
      <c r="D814" t="s">
        <v>13</v>
      </c>
      <c r="E814" s="2">
        <v>9665.61</v>
      </c>
    </row>
    <row r="815" spans="1:5" x14ac:dyDescent="0.25">
      <c r="A815" t="s">
        <v>1063</v>
      </c>
      <c r="B815" t="s">
        <v>324</v>
      </c>
      <c r="C815" s="1">
        <v>45660</v>
      </c>
      <c r="D815" t="s">
        <v>63</v>
      </c>
      <c r="E815" s="2">
        <v>528.5</v>
      </c>
    </row>
    <row r="816" spans="1:5" x14ac:dyDescent="0.25">
      <c r="A816" t="s">
        <v>1064</v>
      </c>
      <c r="B816" t="s">
        <v>371</v>
      </c>
      <c r="C816" s="1">
        <v>45730</v>
      </c>
      <c r="D816" t="s">
        <v>7</v>
      </c>
      <c r="E816" s="2">
        <v>2998.93</v>
      </c>
    </row>
    <row r="817" spans="1:5" x14ac:dyDescent="0.25">
      <c r="A817" t="s">
        <v>1065</v>
      </c>
      <c r="B817" t="s">
        <v>802</v>
      </c>
      <c r="C817" s="1">
        <v>45900</v>
      </c>
      <c r="D817" t="s">
        <v>16</v>
      </c>
      <c r="E817" s="2">
        <v>6375.05</v>
      </c>
    </row>
    <row r="818" spans="1:5" x14ac:dyDescent="0.25">
      <c r="A818" t="s">
        <v>1066</v>
      </c>
      <c r="B818" t="s">
        <v>122</v>
      </c>
      <c r="C818" s="1">
        <v>46007</v>
      </c>
      <c r="D818" t="s">
        <v>34</v>
      </c>
      <c r="E818" s="2">
        <v>9377.84</v>
      </c>
    </row>
    <row r="819" spans="1:5" x14ac:dyDescent="0.25">
      <c r="A819" t="s">
        <v>1067</v>
      </c>
      <c r="B819" t="s">
        <v>36</v>
      </c>
      <c r="C819" s="1">
        <v>45752</v>
      </c>
      <c r="D819" t="s">
        <v>34</v>
      </c>
      <c r="E819" s="2">
        <v>2503.73</v>
      </c>
    </row>
    <row r="820" spans="1:5" x14ac:dyDescent="0.25">
      <c r="A820" t="s">
        <v>1068</v>
      </c>
      <c r="B820" t="s">
        <v>587</v>
      </c>
      <c r="C820" s="1">
        <v>45388</v>
      </c>
      <c r="D820" t="s">
        <v>27</v>
      </c>
      <c r="E820" s="2">
        <v>4452.28</v>
      </c>
    </row>
    <row r="821" spans="1:5" x14ac:dyDescent="0.25">
      <c r="A821" t="s">
        <v>1069</v>
      </c>
      <c r="B821" t="s">
        <v>458</v>
      </c>
      <c r="C821" s="1">
        <v>45682</v>
      </c>
      <c r="D821" t="s">
        <v>27</v>
      </c>
      <c r="E821" s="2">
        <v>9133.26</v>
      </c>
    </row>
    <row r="822" spans="1:5" x14ac:dyDescent="0.25">
      <c r="A822" t="s">
        <v>1070</v>
      </c>
      <c r="B822" t="s">
        <v>110</v>
      </c>
      <c r="C822" s="1">
        <v>45434</v>
      </c>
      <c r="D822" t="s">
        <v>7</v>
      </c>
      <c r="E822" s="2">
        <v>364.44</v>
      </c>
    </row>
    <row r="823" spans="1:5" x14ac:dyDescent="0.25">
      <c r="A823" t="s">
        <v>1071</v>
      </c>
      <c r="B823" t="s">
        <v>178</v>
      </c>
      <c r="C823" s="1">
        <v>45405</v>
      </c>
      <c r="D823" t="s">
        <v>27</v>
      </c>
      <c r="E823" s="2">
        <v>8524.25</v>
      </c>
    </row>
    <row r="824" spans="1:5" x14ac:dyDescent="0.25">
      <c r="A824" t="s">
        <v>1072</v>
      </c>
      <c r="B824" t="s">
        <v>748</v>
      </c>
      <c r="C824" s="1">
        <v>45891</v>
      </c>
      <c r="D824" t="s">
        <v>7</v>
      </c>
      <c r="E824" s="2">
        <v>3235.67</v>
      </c>
    </row>
    <row r="825" spans="1:5" x14ac:dyDescent="0.25">
      <c r="A825" t="s">
        <v>1073</v>
      </c>
      <c r="B825" t="s">
        <v>395</v>
      </c>
      <c r="C825" s="1">
        <v>45464</v>
      </c>
      <c r="D825" t="s">
        <v>68</v>
      </c>
      <c r="E825" s="2">
        <v>526.71</v>
      </c>
    </row>
    <row r="826" spans="1:5" x14ac:dyDescent="0.25">
      <c r="A826" t="s">
        <v>1074</v>
      </c>
      <c r="B826" t="s">
        <v>166</v>
      </c>
      <c r="C826" s="1">
        <v>45499</v>
      </c>
      <c r="D826" t="s">
        <v>7</v>
      </c>
      <c r="E826" s="2">
        <v>3449.04</v>
      </c>
    </row>
    <row r="827" spans="1:5" x14ac:dyDescent="0.25">
      <c r="A827" t="s">
        <v>1075</v>
      </c>
      <c r="B827" t="s">
        <v>956</v>
      </c>
      <c r="C827" s="1">
        <v>45531</v>
      </c>
      <c r="D827" t="s">
        <v>63</v>
      </c>
      <c r="E827" s="2">
        <v>497.12</v>
      </c>
    </row>
    <row r="828" spans="1:5" x14ac:dyDescent="0.25">
      <c r="A828" t="s">
        <v>1076</v>
      </c>
      <c r="B828" t="s">
        <v>662</v>
      </c>
      <c r="C828" s="1">
        <v>45956</v>
      </c>
      <c r="D828" t="s">
        <v>63</v>
      </c>
      <c r="E828" s="2">
        <v>8047.78</v>
      </c>
    </row>
    <row r="829" spans="1:5" x14ac:dyDescent="0.25">
      <c r="A829" t="s">
        <v>1077</v>
      </c>
      <c r="B829" t="s">
        <v>455</v>
      </c>
      <c r="C829" s="1">
        <v>45566</v>
      </c>
      <c r="D829" t="s">
        <v>13</v>
      </c>
      <c r="E829" s="2">
        <v>426.09</v>
      </c>
    </row>
    <row r="830" spans="1:5" x14ac:dyDescent="0.25">
      <c r="A830" t="s">
        <v>1078</v>
      </c>
      <c r="B830" t="s">
        <v>133</v>
      </c>
      <c r="C830" s="1">
        <v>45505</v>
      </c>
      <c r="D830" t="s">
        <v>7</v>
      </c>
      <c r="E830" s="2">
        <v>1300.55</v>
      </c>
    </row>
    <row r="831" spans="1:5" x14ac:dyDescent="0.25">
      <c r="A831" t="s">
        <v>1079</v>
      </c>
      <c r="B831" t="s">
        <v>964</v>
      </c>
      <c r="C831" s="1">
        <v>45800</v>
      </c>
      <c r="D831" t="s">
        <v>34</v>
      </c>
      <c r="E831" s="2">
        <v>4468.92</v>
      </c>
    </row>
    <row r="832" spans="1:5" x14ac:dyDescent="0.25">
      <c r="A832" t="s">
        <v>1080</v>
      </c>
      <c r="B832" t="s">
        <v>1081</v>
      </c>
      <c r="C832" s="1">
        <v>45946</v>
      </c>
      <c r="D832" t="s">
        <v>13</v>
      </c>
      <c r="E832" s="2">
        <v>8714.69</v>
      </c>
    </row>
    <row r="833" spans="1:5" x14ac:dyDescent="0.25">
      <c r="A833" t="s">
        <v>1082</v>
      </c>
      <c r="B833" t="s">
        <v>196</v>
      </c>
      <c r="C833" s="1">
        <v>45667</v>
      </c>
      <c r="D833" t="s">
        <v>7</v>
      </c>
      <c r="E833" s="2">
        <v>972.99</v>
      </c>
    </row>
    <row r="834" spans="1:5" x14ac:dyDescent="0.25">
      <c r="A834" t="s">
        <v>1083</v>
      </c>
      <c r="B834" t="s">
        <v>593</v>
      </c>
      <c r="C834" s="1">
        <v>45961</v>
      </c>
      <c r="D834" t="s">
        <v>10</v>
      </c>
      <c r="E834" s="2">
        <v>8338.14</v>
      </c>
    </row>
    <row r="835" spans="1:5" x14ac:dyDescent="0.25">
      <c r="A835" t="s">
        <v>1084</v>
      </c>
      <c r="B835" t="s">
        <v>1085</v>
      </c>
      <c r="C835" s="1">
        <v>45511</v>
      </c>
      <c r="D835" t="s">
        <v>68</v>
      </c>
      <c r="E835" s="2">
        <v>4805.8999999999996</v>
      </c>
    </row>
    <row r="836" spans="1:5" x14ac:dyDescent="0.25">
      <c r="A836" t="s">
        <v>1086</v>
      </c>
      <c r="B836" t="s">
        <v>74</v>
      </c>
      <c r="C836" s="1">
        <v>45965</v>
      </c>
      <c r="D836" t="s">
        <v>13</v>
      </c>
      <c r="E836" s="2">
        <v>7525.99</v>
      </c>
    </row>
    <row r="837" spans="1:5" x14ac:dyDescent="0.25">
      <c r="A837" t="s">
        <v>1087</v>
      </c>
      <c r="B837" t="s">
        <v>337</v>
      </c>
      <c r="C837" s="1">
        <v>45519</v>
      </c>
      <c r="D837" t="s">
        <v>68</v>
      </c>
      <c r="E837" s="2">
        <v>9846.81</v>
      </c>
    </row>
    <row r="838" spans="1:5" x14ac:dyDescent="0.25">
      <c r="A838" t="s">
        <v>1088</v>
      </c>
      <c r="B838" t="s">
        <v>713</v>
      </c>
      <c r="C838" s="1">
        <v>45476</v>
      </c>
      <c r="D838" t="s">
        <v>7</v>
      </c>
      <c r="E838" s="2">
        <v>792.37</v>
      </c>
    </row>
    <row r="839" spans="1:5" x14ac:dyDescent="0.25">
      <c r="A839" t="s">
        <v>1089</v>
      </c>
      <c r="B839" t="s">
        <v>1029</v>
      </c>
      <c r="C839" s="1">
        <v>45811</v>
      </c>
      <c r="D839" t="s">
        <v>63</v>
      </c>
      <c r="E839" s="2">
        <v>8415.06</v>
      </c>
    </row>
    <row r="840" spans="1:5" x14ac:dyDescent="0.25">
      <c r="A840" t="s">
        <v>1090</v>
      </c>
      <c r="B840" t="s">
        <v>505</v>
      </c>
      <c r="C840" s="1">
        <v>45890</v>
      </c>
      <c r="D840" t="s">
        <v>63</v>
      </c>
      <c r="E840" s="2">
        <v>6881.05</v>
      </c>
    </row>
    <row r="841" spans="1:5" x14ac:dyDescent="0.25">
      <c r="A841" t="s">
        <v>1091</v>
      </c>
      <c r="B841" t="s">
        <v>172</v>
      </c>
      <c r="C841" s="1">
        <v>45736</v>
      </c>
      <c r="D841" t="s">
        <v>16</v>
      </c>
      <c r="E841" s="2">
        <v>3959.5</v>
      </c>
    </row>
    <row r="842" spans="1:5" x14ac:dyDescent="0.25">
      <c r="A842" t="s">
        <v>1092</v>
      </c>
      <c r="B842" t="s">
        <v>547</v>
      </c>
      <c r="C842" s="1">
        <v>45327</v>
      </c>
      <c r="D842" t="s">
        <v>13</v>
      </c>
      <c r="E842" s="2">
        <v>9387.7800000000007</v>
      </c>
    </row>
    <row r="843" spans="1:5" x14ac:dyDescent="0.25">
      <c r="A843" t="s">
        <v>1093</v>
      </c>
      <c r="B843" t="s">
        <v>319</v>
      </c>
      <c r="C843" s="1">
        <v>45711</v>
      </c>
      <c r="D843" t="s">
        <v>27</v>
      </c>
      <c r="E843" s="2">
        <v>3787.06</v>
      </c>
    </row>
    <row r="844" spans="1:5" x14ac:dyDescent="0.25">
      <c r="A844" t="s">
        <v>1094</v>
      </c>
      <c r="B844" t="s">
        <v>553</v>
      </c>
      <c r="C844" s="1">
        <v>45569</v>
      </c>
      <c r="D844" t="s">
        <v>13</v>
      </c>
      <c r="E844" s="2">
        <v>1084.6300000000001</v>
      </c>
    </row>
    <row r="845" spans="1:5" x14ac:dyDescent="0.25">
      <c r="A845" t="s">
        <v>1095</v>
      </c>
      <c r="B845" t="s">
        <v>118</v>
      </c>
      <c r="C845" s="1">
        <v>45554</v>
      </c>
      <c r="D845" t="s">
        <v>7</v>
      </c>
      <c r="E845" s="2">
        <v>9947.3700000000008</v>
      </c>
    </row>
    <row r="846" spans="1:5" x14ac:dyDescent="0.25">
      <c r="A846" t="s">
        <v>1096</v>
      </c>
      <c r="B846" t="s">
        <v>1097</v>
      </c>
      <c r="C846" s="1">
        <v>45397</v>
      </c>
      <c r="D846" t="s">
        <v>13</v>
      </c>
      <c r="E846" s="2">
        <v>662.67</v>
      </c>
    </row>
    <row r="847" spans="1:5" x14ac:dyDescent="0.25">
      <c r="A847" t="s">
        <v>1098</v>
      </c>
      <c r="B847" t="s">
        <v>964</v>
      </c>
      <c r="C847" s="1">
        <v>45375</v>
      </c>
      <c r="D847" t="s">
        <v>68</v>
      </c>
      <c r="E847" s="2">
        <v>2613.58</v>
      </c>
    </row>
    <row r="848" spans="1:5" x14ac:dyDescent="0.25">
      <c r="A848" t="s">
        <v>1099</v>
      </c>
      <c r="B848" t="s">
        <v>40</v>
      </c>
      <c r="C848" s="1">
        <v>45789</v>
      </c>
      <c r="D848" t="s">
        <v>16</v>
      </c>
      <c r="E848" s="2">
        <v>363.39</v>
      </c>
    </row>
    <row r="849" spans="1:5" x14ac:dyDescent="0.25">
      <c r="A849" t="s">
        <v>1100</v>
      </c>
      <c r="B849" t="s">
        <v>100</v>
      </c>
      <c r="C849" s="1">
        <v>45755</v>
      </c>
      <c r="D849" t="s">
        <v>16</v>
      </c>
      <c r="E849" s="2">
        <v>806.09</v>
      </c>
    </row>
    <row r="850" spans="1:5" x14ac:dyDescent="0.25">
      <c r="A850" t="s">
        <v>1101</v>
      </c>
      <c r="B850" t="s">
        <v>172</v>
      </c>
      <c r="C850" s="1">
        <v>45431</v>
      </c>
      <c r="D850" t="s">
        <v>27</v>
      </c>
      <c r="E850" s="2">
        <v>8705.7199999999993</v>
      </c>
    </row>
    <row r="851" spans="1:5" x14ac:dyDescent="0.25">
      <c r="A851" t="s">
        <v>1102</v>
      </c>
      <c r="B851" t="s">
        <v>248</v>
      </c>
      <c r="C851" s="1">
        <v>45855</v>
      </c>
      <c r="D851" t="s">
        <v>7</v>
      </c>
      <c r="E851" s="2">
        <v>6365.26</v>
      </c>
    </row>
    <row r="852" spans="1:5" x14ac:dyDescent="0.25">
      <c r="A852" t="s">
        <v>1103</v>
      </c>
      <c r="B852" t="s">
        <v>189</v>
      </c>
      <c r="C852" s="1">
        <v>45529</v>
      </c>
      <c r="D852" t="s">
        <v>7</v>
      </c>
      <c r="E852" s="2">
        <v>4363.55</v>
      </c>
    </row>
    <row r="853" spans="1:5" x14ac:dyDescent="0.25">
      <c r="A853" t="s">
        <v>1104</v>
      </c>
      <c r="B853" t="s">
        <v>258</v>
      </c>
      <c r="C853" s="1">
        <v>45419</v>
      </c>
      <c r="D853" t="s">
        <v>10</v>
      </c>
      <c r="E853" s="2">
        <v>6168.71</v>
      </c>
    </row>
    <row r="854" spans="1:5" x14ac:dyDescent="0.25">
      <c r="A854" t="s">
        <v>1105</v>
      </c>
      <c r="B854" t="s">
        <v>446</v>
      </c>
      <c r="C854" s="1">
        <v>45956</v>
      </c>
      <c r="D854" t="s">
        <v>7</v>
      </c>
      <c r="E854" s="2">
        <v>743</v>
      </c>
    </row>
    <row r="855" spans="1:5" x14ac:dyDescent="0.25">
      <c r="A855" t="s">
        <v>1106</v>
      </c>
      <c r="B855" t="s">
        <v>1107</v>
      </c>
      <c r="C855" s="1">
        <v>45483</v>
      </c>
      <c r="D855" t="s">
        <v>7</v>
      </c>
      <c r="E855" s="2">
        <v>6307.52</v>
      </c>
    </row>
    <row r="856" spans="1:5" x14ac:dyDescent="0.25">
      <c r="A856" t="s">
        <v>1108</v>
      </c>
      <c r="B856" t="s">
        <v>303</v>
      </c>
      <c r="C856" s="1">
        <v>45580</v>
      </c>
      <c r="D856" t="s">
        <v>68</v>
      </c>
      <c r="E856" s="2">
        <v>1893.11</v>
      </c>
    </row>
    <row r="857" spans="1:5" x14ac:dyDescent="0.25">
      <c r="A857" t="s">
        <v>1109</v>
      </c>
      <c r="B857" t="s">
        <v>135</v>
      </c>
      <c r="C857" s="1">
        <v>45808</v>
      </c>
      <c r="D857" t="s">
        <v>63</v>
      </c>
      <c r="E857" s="2">
        <v>6848.21</v>
      </c>
    </row>
    <row r="858" spans="1:5" x14ac:dyDescent="0.25">
      <c r="A858" t="s">
        <v>1110</v>
      </c>
      <c r="B858" t="s">
        <v>74</v>
      </c>
      <c r="C858" s="1">
        <v>45547</v>
      </c>
      <c r="D858" t="s">
        <v>27</v>
      </c>
      <c r="E858" s="2">
        <v>6705.13</v>
      </c>
    </row>
    <row r="859" spans="1:5" x14ac:dyDescent="0.25">
      <c r="A859" t="s">
        <v>1111</v>
      </c>
      <c r="B859" t="s">
        <v>42</v>
      </c>
      <c r="C859" s="1">
        <v>45909</v>
      </c>
      <c r="D859" t="s">
        <v>27</v>
      </c>
      <c r="E859" s="2">
        <v>5183.93</v>
      </c>
    </row>
    <row r="860" spans="1:5" x14ac:dyDescent="0.25">
      <c r="A860" t="s">
        <v>1112</v>
      </c>
      <c r="B860" t="s">
        <v>692</v>
      </c>
      <c r="C860" s="1">
        <v>45597</v>
      </c>
      <c r="D860" t="s">
        <v>16</v>
      </c>
      <c r="E860" s="2">
        <v>6816.86</v>
      </c>
    </row>
    <row r="861" spans="1:5" x14ac:dyDescent="0.25">
      <c r="A861" t="s">
        <v>1113</v>
      </c>
      <c r="B861" t="s">
        <v>253</v>
      </c>
      <c r="C861" s="1">
        <v>45457</v>
      </c>
      <c r="D861" t="s">
        <v>7</v>
      </c>
      <c r="E861" s="2">
        <v>9079.82</v>
      </c>
    </row>
    <row r="862" spans="1:5" x14ac:dyDescent="0.25">
      <c r="A862" t="s">
        <v>1114</v>
      </c>
      <c r="B862" t="s">
        <v>407</v>
      </c>
      <c r="C862" s="1">
        <v>45636</v>
      </c>
      <c r="D862" t="s">
        <v>7</v>
      </c>
      <c r="E862" s="2">
        <v>8398.5499999999993</v>
      </c>
    </row>
    <row r="863" spans="1:5" x14ac:dyDescent="0.25">
      <c r="A863" t="s">
        <v>1115</v>
      </c>
      <c r="B863" t="s">
        <v>67</v>
      </c>
      <c r="C863" s="1">
        <v>45914</v>
      </c>
      <c r="D863" t="s">
        <v>16</v>
      </c>
      <c r="E863" s="2">
        <v>7095.04</v>
      </c>
    </row>
    <row r="864" spans="1:5" x14ac:dyDescent="0.25">
      <c r="A864" t="s">
        <v>1116</v>
      </c>
      <c r="B864" t="s">
        <v>478</v>
      </c>
      <c r="C864" s="1">
        <v>45510</v>
      </c>
      <c r="D864" t="s">
        <v>34</v>
      </c>
      <c r="E864" s="2">
        <v>4133.92</v>
      </c>
    </row>
    <row r="865" spans="1:5" x14ac:dyDescent="0.25">
      <c r="A865" t="s">
        <v>1117</v>
      </c>
      <c r="B865" t="s">
        <v>313</v>
      </c>
      <c r="C865" s="1">
        <v>45555</v>
      </c>
      <c r="D865" t="s">
        <v>7</v>
      </c>
      <c r="E865" s="2">
        <v>7996.42</v>
      </c>
    </row>
    <row r="866" spans="1:5" x14ac:dyDescent="0.25">
      <c r="A866" t="s">
        <v>1118</v>
      </c>
      <c r="B866" t="s">
        <v>1119</v>
      </c>
      <c r="C866" s="1">
        <v>45759</v>
      </c>
      <c r="D866" t="s">
        <v>7</v>
      </c>
      <c r="E866" s="2">
        <v>9783.09</v>
      </c>
    </row>
    <row r="867" spans="1:5" x14ac:dyDescent="0.25">
      <c r="A867" t="s">
        <v>1120</v>
      </c>
      <c r="B867" t="s">
        <v>614</v>
      </c>
      <c r="C867" s="1">
        <v>45946</v>
      </c>
      <c r="D867" t="s">
        <v>63</v>
      </c>
      <c r="E867" s="2">
        <v>4845.09</v>
      </c>
    </row>
    <row r="868" spans="1:5" x14ac:dyDescent="0.25">
      <c r="A868" t="s">
        <v>1121</v>
      </c>
      <c r="B868" t="s">
        <v>280</v>
      </c>
      <c r="C868" s="1">
        <v>45459</v>
      </c>
      <c r="D868" t="s">
        <v>10</v>
      </c>
      <c r="E868" s="2">
        <v>9139.5499999999993</v>
      </c>
    </row>
    <row r="869" spans="1:5" x14ac:dyDescent="0.25">
      <c r="A869" t="s">
        <v>1122</v>
      </c>
      <c r="B869" t="s">
        <v>174</v>
      </c>
      <c r="C869" s="1">
        <v>46020</v>
      </c>
      <c r="D869" t="s">
        <v>68</v>
      </c>
      <c r="E869" s="2">
        <v>4216.5</v>
      </c>
    </row>
    <row r="870" spans="1:5" x14ac:dyDescent="0.25">
      <c r="A870" t="s">
        <v>1123</v>
      </c>
      <c r="B870" t="s">
        <v>319</v>
      </c>
      <c r="C870" s="1">
        <v>45717</v>
      </c>
      <c r="D870" t="s">
        <v>27</v>
      </c>
      <c r="E870" s="2">
        <v>9545.2199999999993</v>
      </c>
    </row>
    <row r="871" spans="1:5" x14ac:dyDescent="0.25">
      <c r="A871" t="s">
        <v>1124</v>
      </c>
      <c r="B871" t="s">
        <v>60</v>
      </c>
      <c r="C871" s="1">
        <v>45545</v>
      </c>
      <c r="D871" t="s">
        <v>34</v>
      </c>
      <c r="E871" s="2">
        <v>7685.49</v>
      </c>
    </row>
    <row r="872" spans="1:5" x14ac:dyDescent="0.25">
      <c r="A872" t="s">
        <v>1125</v>
      </c>
      <c r="B872" t="s">
        <v>46</v>
      </c>
      <c r="C872" s="1">
        <v>45986</v>
      </c>
      <c r="D872" t="s">
        <v>16</v>
      </c>
      <c r="E872" s="2">
        <v>5790.7</v>
      </c>
    </row>
    <row r="873" spans="1:5" x14ac:dyDescent="0.25">
      <c r="A873" t="s">
        <v>1126</v>
      </c>
      <c r="B873" t="s">
        <v>711</v>
      </c>
      <c r="C873" s="1">
        <v>45839</v>
      </c>
      <c r="D873" t="s">
        <v>16</v>
      </c>
      <c r="E873" s="2">
        <v>2651.76</v>
      </c>
    </row>
    <row r="874" spans="1:5" x14ac:dyDescent="0.25">
      <c r="A874" t="s">
        <v>1127</v>
      </c>
      <c r="B874" t="s">
        <v>380</v>
      </c>
      <c r="C874" s="1">
        <v>45667</v>
      </c>
      <c r="D874" t="s">
        <v>68</v>
      </c>
      <c r="E874" s="2">
        <v>5571.59</v>
      </c>
    </row>
    <row r="875" spans="1:5" x14ac:dyDescent="0.25">
      <c r="A875" t="s">
        <v>1128</v>
      </c>
      <c r="B875" t="s">
        <v>1129</v>
      </c>
      <c r="C875" s="1">
        <v>45317</v>
      </c>
      <c r="D875" t="s">
        <v>10</v>
      </c>
      <c r="E875" s="2">
        <v>2805.25</v>
      </c>
    </row>
    <row r="876" spans="1:5" x14ac:dyDescent="0.25">
      <c r="A876" t="s">
        <v>1130</v>
      </c>
      <c r="B876" t="s">
        <v>309</v>
      </c>
      <c r="C876" s="1">
        <v>45566</v>
      </c>
      <c r="D876" t="s">
        <v>13</v>
      </c>
      <c r="E876" s="2">
        <v>5513.12</v>
      </c>
    </row>
    <row r="877" spans="1:5" x14ac:dyDescent="0.25">
      <c r="A877" t="s">
        <v>1131</v>
      </c>
      <c r="B877" t="s">
        <v>905</v>
      </c>
      <c r="C877" s="1">
        <v>45842</v>
      </c>
      <c r="D877" t="s">
        <v>63</v>
      </c>
      <c r="E877" s="2">
        <v>9146.09</v>
      </c>
    </row>
    <row r="878" spans="1:5" x14ac:dyDescent="0.25">
      <c r="A878" t="s">
        <v>1132</v>
      </c>
      <c r="B878" t="s">
        <v>819</v>
      </c>
      <c r="C878" s="1">
        <v>45647</v>
      </c>
      <c r="D878" t="s">
        <v>34</v>
      </c>
      <c r="E878" s="2">
        <v>2131.52</v>
      </c>
    </row>
    <row r="879" spans="1:5" x14ac:dyDescent="0.25">
      <c r="A879" t="s">
        <v>1133</v>
      </c>
      <c r="B879" t="s">
        <v>198</v>
      </c>
      <c r="C879" s="1">
        <v>45667</v>
      </c>
      <c r="D879" t="s">
        <v>27</v>
      </c>
      <c r="E879" s="2">
        <v>7503.49</v>
      </c>
    </row>
    <row r="880" spans="1:5" x14ac:dyDescent="0.25">
      <c r="A880" t="s">
        <v>1134</v>
      </c>
      <c r="B880" t="s">
        <v>564</v>
      </c>
      <c r="C880" s="1">
        <v>45382</v>
      </c>
      <c r="D880" t="s">
        <v>10</v>
      </c>
      <c r="E880" s="2">
        <v>1452.97</v>
      </c>
    </row>
    <row r="881" spans="1:5" x14ac:dyDescent="0.25">
      <c r="A881" t="s">
        <v>1135</v>
      </c>
      <c r="B881" t="s">
        <v>258</v>
      </c>
      <c r="C881" s="1">
        <v>45428</v>
      </c>
      <c r="D881" t="s">
        <v>27</v>
      </c>
      <c r="E881" s="2">
        <v>1113.96</v>
      </c>
    </row>
    <row r="882" spans="1:5" x14ac:dyDescent="0.25">
      <c r="A882" t="s">
        <v>1136</v>
      </c>
      <c r="B882" t="s">
        <v>462</v>
      </c>
      <c r="C882" s="1">
        <v>45960</v>
      </c>
      <c r="D882" t="s">
        <v>27</v>
      </c>
      <c r="E882" s="2">
        <v>5235.99</v>
      </c>
    </row>
    <row r="883" spans="1:5" x14ac:dyDescent="0.25">
      <c r="A883" t="s">
        <v>1137</v>
      </c>
      <c r="B883" t="s">
        <v>152</v>
      </c>
      <c r="C883" s="1">
        <v>45691</v>
      </c>
      <c r="D883" t="s">
        <v>68</v>
      </c>
      <c r="E883" s="2">
        <v>5533.54</v>
      </c>
    </row>
    <row r="884" spans="1:5" x14ac:dyDescent="0.25">
      <c r="A884" t="s">
        <v>1138</v>
      </c>
      <c r="B884" t="s">
        <v>72</v>
      </c>
      <c r="C884" s="1">
        <v>45937</v>
      </c>
      <c r="D884" t="s">
        <v>63</v>
      </c>
      <c r="E884" s="2">
        <v>4612.42</v>
      </c>
    </row>
    <row r="885" spans="1:5" x14ac:dyDescent="0.25">
      <c r="A885" t="s">
        <v>1139</v>
      </c>
      <c r="B885" t="s">
        <v>611</v>
      </c>
      <c r="C885" s="1">
        <v>45524</v>
      </c>
      <c r="D885" t="s">
        <v>16</v>
      </c>
      <c r="E885" s="2">
        <v>2465.41</v>
      </c>
    </row>
    <row r="886" spans="1:5" x14ac:dyDescent="0.25">
      <c r="A886" t="s">
        <v>1140</v>
      </c>
      <c r="B886" t="s">
        <v>1129</v>
      </c>
      <c r="C886" s="1">
        <v>45473</v>
      </c>
      <c r="D886" t="s">
        <v>16</v>
      </c>
      <c r="E886" s="2">
        <v>9217.7099999999991</v>
      </c>
    </row>
    <row r="887" spans="1:5" x14ac:dyDescent="0.25">
      <c r="A887" t="s">
        <v>1141</v>
      </c>
      <c r="B887" t="s">
        <v>357</v>
      </c>
      <c r="C887" s="1">
        <v>45620</v>
      </c>
      <c r="D887" t="s">
        <v>16</v>
      </c>
      <c r="E887" s="2">
        <v>6940.9</v>
      </c>
    </row>
    <row r="888" spans="1:5" x14ac:dyDescent="0.25">
      <c r="A888" t="s">
        <v>1142</v>
      </c>
      <c r="B888" t="s">
        <v>207</v>
      </c>
      <c r="C888" s="1">
        <v>45320</v>
      </c>
      <c r="D888" t="s">
        <v>34</v>
      </c>
      <c r="E888" s="2">
        <v>4276.6000000000004</v>
      </c>
    </row>
    <row r="889" spans="1:5" x14ac:dyDescent="0.25">
      <c r="A889" t="s">
        <v>1143</v>
      </c>
      <c r="B889" t="s">
        <v>94</v>
      </c>
      <c r="C889" s="1">
        <v>45571</v>
      </c>
      <c r="D889" t="s">
        <v>10</v>
      </c>
      <c r="E889" s="2">
        <v>1384.27</v>
      </c>
    </row>
    <row r="890" spans="1:5" x14ac:dyDescent="0.25">
      <c r="A890" t="s">
        <v>1144</v>
      </c>
      <c r="B890" t="s">
        <v>196</v>
      </c>
      <c r="C890" s="1">
        <v>45706</v>
      </c>
      <c r="D890" t="s">
        <v>13</v>
      </c>
      <c r="E890" s="2">
        <v>7092.87</v>
      </c>
    </row>
    <row r="891" spans="1:5" x14ac:dyDescent="0.25">
      <c r="A891" t="s">
        <v>1145</v>
      </c>
      <c r="B891" t="s">
        <v>377</v>
      </c>
      <c r="C891" s="1">
        <v>45348</v>
      </c>
      <c r="D891" t="s">
        <v>10</v>
      </c>
      <c r="E891" s="2">
        <v>734.65</v>
      </c>
    </row>
    <row r="892" spans="1:5" x14ac:dyDescent="0.25">
      <c r="A892" t="s">
        <v>1146</v>
      </c>
      <c r="B892" t="s">
        <v>366</v>
      </c>
      <c r="C892" s="1">
        <v>45862</v>
      </c>
      <c r="D892" t="s">
        <v>63</v>
      </c>
      <c r="E892" s="2">
        <v>5082.96</v>
      </c>
    </row>
    <row r="893" spans="1:5" x14ac:dyDescent="0.25">
      <c r="A893" t="s">
        <v>1147</v>
      </c>
      <c r="B893" t="s">
        <v>58</v>
      </c>
      <c r="C893" s="1">
        <v>45541</v>
      </c>
      <c r="D893" t="s">
        <v>34</v>
      </c>
      <c r="E893" s="2">
        <v>7943.03</v>
      </c>
    </row>
    <row r="894" spans="1:5" x14ac:dyDescent="0.25">
      <c r="A894" t="s">
        <v>1148</v>
      </c>
      <c r="B894" t="s">
        <v>952</v>
      </c>
      <c r="C894" s="1">
        <v>45380</v>
      </c>
      <c r="D894" t="s">
        <v>13</v>
      </c>
      <c r="E894" s="2">
        <v>6550.84</v>
      </c>
    </row>
    <row r="895" spans="1:5" x14ac:dyDescent="0.25">
      <c r="A895" t="s">
        <v>1149</v>
      </c>
      <c r="B895" t="s">
        <v>244</v>
      </c>
      <c r="C895" s="1">
        <v>45314</v>
      </c>
      <c r="D895" t="s">
        <v>10</v>
      </c>
      <c r="E895" s="2">
        <v>51.36</v>
      </c>
    </row>
    <row r="896" spans="1:5" x14ac:dyDescent="0.25">
      <c r="A896" t="s">
        <v>1150</v>
      </c>
      <c r="B896" t="s">
        <v>692</v>
      </c>
      <c r="C896" s="1">
        <v>45686</v>
      </c>
      <c r="D896" t="s">
        <v>68</v>
      </c>
      <c r="E896" s="2">
        <v>4175.03</v>
      </c>
    </row>
    <row r="897" spans="1:5" x14ac:dyDescent="0.25">
      <c r="A897" t="s">
        <v>1151</v>
      </c>
      <c r="B897" t="s">
        <v>293</v>
      </c>
      <c r="C897" s="1">
        <v>45433</v>
      </c>
      <c r="D897" t="s">
        <v>34</v>
      </c>
      <c r="E897" s="2">
        <v>5742.28</v>
      </c>
    </row>
    <row r="898" spans="1:5" x14ac:dyDescent="0.25">
      <c r="A898" t="s">
        <v>1152</v>
      </c>
      <c r="B898" t="s">
        <v>242</v>
      </c>
      <c r="C898" s="1">
        <v>45969</v>
      </c>
      <c r="D898" t="s">
        <v>16</v>
      </c>
      <c r="E898" s="2">
        <v>1063.3699999999999</v>
      </c>
    </row>
    <row r="899" spans="1:5" x14ac:dyDescent="0.25">
      <c r="A899" t="s">
        <v>1153</v>
      </c>
      <c r="B899" t="s">
        <v>106</v>
      </c>
      <c r="C899" s="1">
        <v>45630</v>
      </c>
      <c r="D899" t="s">
        <v>27</v>
      </c>
      <c r="E899" s="2">
        <v>7296.71</v>
      </c>
    </row>
    <row r="900" spans="1:5" x14ac:dyDescent="0.25">
      <c r="A900" t="s">
        <v>1154</v>
      </c>
      <c r="B900" t="s">
        <v>537</v>
      </c>
      <c r="C900" s="1">
        <v>45739</v>
      </c>
      <c r="D900" t="s">
        <v>34</v>
      </c>
      <c r="E900" s="2">
        <v>6244.54</v>
      </c>
    </row>
    <row r="901" spans="1:5" x14ac:dyDescent="0.25">
      <c r="A901" t="s">
        <v>1155</v>
      </c>
      <c r="B901" t="s">
        <v>185</v>
      </c>
      <c r="C901" s="1">
        <v>45616</v>
      </c>
      <c r="D901" t="s">
        <v>10</v>
      </c>
      <c r="E901" s="2">
        <v>8719.49</v>
      </c>
    </row>
    <row r="902" spans="1:5" x14ac:dyDescent="0.25">
      <c r="A902" t="s">
        <v>1156</v>
      </c>
      <c r="B902" t="s">
        <v>38</v>
      </c>
      <c r="C902" s="1">
        <v>45909</v>
      </c>
      <c r="D902" t="s">
        <v>10</v>
      </c>
      <c r="E902" s="2">
        <v>2442.11</v>
      </c>
    </row>
    <row r="903" spans="1:5" x14ac:dyDescent="0.25">
      <c r="A903" t="s">
        <v>1157</v>
      </c>
      <c r="B903" t="s">
        <v>398</v>
      </c>
      <c r="C903" s="1">
        <v>45690</v>
      </c>
      <c r="D903" t="s">
        <v>34</v>
      </c>
      <c r="E903" s="2">
        <v>7139.95</v>
      </c>
    </row>
    <row r="904" spans="1:5" x14ac:dyDescent="0.25">
      <c r="A904" t="s">
        <v>1158</v>
      </c>
      <c r="B904" t="s">
        <v>166</v>
      </c>
      <c r="C904" s="1">
        <v>45545</v>
      </c>
      <c r="D904" t="s">
        <v>13</v>
      </c>
      <c r="E904" s="2">
        <v>8562.42</v>
      </c>
    </row>
    <row r="905" spans="1:5" x14ac:dyDescent="0.25">
      <c r="A905" t="s">
        <v>1159</v>
      </c>
      <c r="B905" t="s">
        <v>201</v>
      </c>
      <c r="C905" s="1">
        <v>45775</v>
      </c>
      <c r="D905" t="s">
        <v>27</v>
      </c>
      <c r="E905" s="2">
        <v>7885.74</v>
      </c>
    </row>
    <row r="906" spans="1:5" x14ac:dyDescent="0.25">
      <c r="A906" t="s">
        <v>1160</v>
      </c>
      <c r="B906" t="s">
        <v>87</v>
      </c>
      <c r="C906" s="1">
        <v>45546</v>
      </c>
      <c r="D906" t="s">
        <v>27</v>
      </c>
      <c r="E906" s="2">
        <v>4582.2700000000004</v>
      </c>
    </row>
    <row r="907" spans="1:5" x14ac:dyDescent="0.25">
      <c r="A907" t="s">
        <v>1161</v>
      </c>
      <c r="B907" t="s">
        <v>1162</v>
      </c>
      <c r="C907" s="1">
        <v>45678</v>
      </c>
      <c r="D907" t="s">
        <v>68</v>
      </c>
      <c r="E907" s="2">
        <v>8029.89</v>
      </c>
    </row>
    <row r="908" spans="1:5" x14ac:dyDescent="0.25">
      <c r="A908" t="s">
        <v>1163</v>
      </c>
      <c r="B908" t="s">
        <v>668</v>
      </c>
      <c r="C908" s="1">
        <v>45836</v>
      </c>
      <c r="D908" t="s">
        <v>13</v>
      </c>
      <c r="E908" s="2">
        <v>3304.17</v>
      </c>
    </row>
    <row r="909" spans="1:5" x14ac:dyDescent="0.25">
      <c r="A909" t="s">
        <v>1164</v>
      </c>
      <c r="B909" t="s">
        <v>905</v>
      </c>
      <c r="C909" s="1">
        <v>45810</v>
      </c>
      <c r="D909" t="s">
        <v>13</v>
      </c>
      <c r="E909" s="2">
        <v>5810.74</v>
      </c>
    </row>
    <row r="910" spans="1:5" x14ac:dyDescent="0.25">
      <c r="A910" t="s">
        <v>1165</v>
      </c>
      <c r="B910" t="s">
        <v>350</v>
      </c>
      <c r="C910" s="1">
        <v>45628</v>
      </c>
      <c r="D910" t="s">
        <v>10</v>
      </c>
      <c r="E910" s="2">
        <v>3473.42</v>
      </c>
    </row>
    <row r="911" spans="1:5" x14ac:dyDescent="0.25">
      <c r="A911" t="s">
        <v>1166</v>
      </c>
      <c r="B911" t="s">
        <v>337</v>
      </c>
      <c r="C911" s="1">
        <v>45492</v>
      </c>
      <c r="D911" t="s">
        <v>68</v>
      </c>
      <c r="E911" s="2">
        <v>5650.53</v>
      </c>
    </row>
    <row r="912" spans="1:5" x14ac:dyDescent="0.25">
      <c r="A912" t="s">
        <v>1167</v>
      </c>
      <c r="B912" t="s">
        <v>46</v>
      </c>
      <c r="C912" s="1">
        <v>45395</v>
      </c>
      <c r="D912" t="s">
        <v>34</v>
      </c>
      <c r="E912" s="2">
        <v>7499.8</v>
      </c>
    </row>
    <row r="913" spans="1:5" x14ac:dyDescent="0.25">
      <c r="A913" t="s">
        <v>1168</v>
      </c>
      <c r="B913" t="s">
        <v>131</v>
      </c>
      <c r="C913" s="1">
        <v>45915</v>
      </c>
      <c r="D913" t="s">
        <v>13</v>
      </c>
      <c r="E913" s="2">
        <v>9268.68</v>
      </c>
    </row>
    <row r="914" spans="1:5" x14ac:dyDescent="0.25">
      <c r="A914" t="s">
        <v>1169</v>
      </c>
      <c r="B914" t="s">
        <v>1061</v>
      </c>
      <c r="C914" s="1">
        <v>45696</v>
      </c>
      <c r="D914" t="s">
        <v>68</v>
      </c>
      <c r="E914" s="2">
        <v>8804.2199999999993</v>
      </c>
    </row>
    <row r="915" spans="1:5" x14ac:dyDescent="0.25">
      <c r="A915" t="s">
        <v>1170</v>
      </c>
      <c r="B915" t="s">
        <v>371</v>
      </c>
      <c r="C915" s="1">
        <v>45446</v>
      </c>
      <c r="D915" t="s">
        <v>10</v>
      </c>
      <c r="E915" s="2">
        <v>8164.91</v>
      </c>
    </row>
    <row r="916" spans="1:5" x14ac:dyDescent="0.25">
      <c r="A916" t="s">
        <v>1171</v>
      </c>
      <c r="B916" t="s">
        <v>226</v>
      </c>
      <c r="C916" s="1">
        <v>45410</v>
      </c>
      <c r="D916" t="s">
        <v>27</v>
      </c>
      <c r="E916" s="2">
        <v>9838.5499999999993</v>
      </c>
    </row>
    <row r="917" spans="1:5" x14ac:dyDescent="0.25">
      <c r="A917" t="s">
        <v>1172</v>
      </c>
      <c r="B917" t="s">
        <v>755</v>
      </c>
      <c r="C917" s="1">
        <v>45861</v>
      </c>
      <c r="D917" t="s">
        <v>63</v>
      </c>
      <c r="E917" s="2">
        <v>6635.86</v>
      </c>
    </row>
    <row r="918" spans="1:5" x14ac:dyDescent="0.25">
      <c r="A918" t="s">
        <v>1173</v>
      </c>
      <c r="B918" t="s">
        <v>735</v>
      </c>
      <c r="C918" s="1">
        <v>45577</v>
      </c>
      <c r="D918" t="s">
        <v>68</v>
      </c>
      <c r="E918" s="2">
        <v>2268.5</v>
      </c>
    </row>
    <row r="919" spans="1:5" x14ac:dyDescent="0.25">
      <c r="A919" t="s">
        <v>1174</v>
      </c>
      <c r="B919" t="s">
        <v>462</v>
      </c>
      <c r="C919" s="1">
        <v>45748</v>
      </c>
      <c r="D919" t="s">
        <v>63</v>
      </c>
      <c r="E919" s="2">
        <v>4583.51</v>
      </c>
    </row>
    <row r="920" spans="1:5" x14ac:dyDescent="0.25">
      <c r="A920" t="s">
        <v>1175</v>
      </c>
      <c r="B920" t="s">
        <v>286</v>
      </c>
      <c r="C920" s="1">
        <v>45876</v>
      </c>
      <c r="D920" t="s">
        <v>34</v>
      </c>
      <c r="E920" s="2">
        <v>668.8</v>
      </c>
    </row>
    <row r="921" spans="1:5" x14ac:dyDescent="0.25">
      <c r="A921" t="s">
        <v>1176</v>
      </c>
      <c r="B921" t="s">
        <v>462</v>
      </c>
      <c r="C921" s="1">
        <v>45932</v>
      </c>
      <c r="D921" t="s">
        <v>10</v>
      </c>
      <c r="E921" s="2">
        <v>6976.99</v>
      </c>
    </row>
    <row r="922" spans="1:5" x14ac:dyDescent="0.25">
      <c r="A922" t="s">
        <v>1177</v>
      </c>
      <c r="B922" t="s">
        <v>248</v>
      </c>
      <c r="C922" s="1">
        <v>46016</v>
      </c>
      <c r="D922" t="s">
        <v>68</v>
      </c>
      <c r="E922" s="2">
        <v>3563.1</v>
      </c>
    </row>
    <row r="923" spans="1:5" x14ac:dyDescent="0.25">
      <c r="A923" t="s">
        <v>1178</v>
      </c>
      <c r="B923" t="s">
        <v>467</v>
      </c>
      <c r="C923" s="1">
        <v>45585</v>
      </c>
      <c r="D923" t="s">
        <v>10</v>
      </c>
      <c r="E923" s="2">
        <v>4807.83</v>
      </c>
    </row>
    <row r="924" spans="1:5" x14ac:dyDescent="0.25">
      <c r="A924" t="s">
        <v>1179</v>
      </c>
      <c r="B924" t="s">
        <v>503</v>
      </c>
      <c r="C924" s="1">
        <v>45731</v>
      </c>
      <c r="D924" t="s">
        <v>16</v>
      </c>
      <c r="E924" s="2">
        <v>6351.59</v>
      </c>
    </row>
    <row r="925" spans="1:5" x14ac:dyDescent="0.25">
      <c r="A925" t="s">
        <v>1180</v>
      </c>
      <c r="B925" t="s">
        <v>1053</v>
      </c>
      <c r="C925" s="1">
        <v>45584</v>
      </c>
      <c r="D925" t="s">
        <v>27</v>
      </c>
      <c r="E925" s="2">
        <v>4376.1099999999997</v>
      </c>
    </row>
    <row r="926" spans="1:5" x14ac:dyDescent="0.25">
      <c r="A926" t="s">
        <v>1181</v>
      </c>
      <c r="B926" t="s">
        <v>36</v>
      </c>
      <c r="C926" s="1">
        <v>46012</v>
      </c>
      <c r="D926" t="s">
        <v>27</v>
      </c>
      <c r="E926" s="2">
        <v>388.17</v>
      </c>
    </row>
    <row r="927" spans="1:5" x14ac:dyDescent="0.25">
      <c r="A927" t="s">
        <v>1182</v>
      </c>
      <c r="B927" t="s">
        <v>137</v>
      </c>
      <c r="C927" s="1">
        <v>45727</v>
      </c>
      <c r="D927" t="s">
        <v>68</v>
      </c>
      <c r="E927" s="2">
        <v>2651.57</v>
      </c>
    </row>
    <row r="928" spans="1:5" x14ac:dyDescent="0.25">
      <c r="A928" t="s">
        <v>1183</v>
      </c>
      <c r="B928" t="s">
        <v>467</v>
      </c>
      <c r="C928" s="1">
        <v>45681</v>
      </c>
      <c r="D928" t="s">
        <v>63</v>
      </c>
      <c r="E928" s="2">
        <v>8642.24</v>
      </c>
    </row>
    <row r="929" spans="1:5" x14ac:dyDescent="0.25">
      <c r="A929" t="s">
        <v>1184</v>
      </c>
      <c r="B929" t="s">
        <v>377</v>
      </c>
      <c r="C929" s="1">
        <v>45702</v>
      </c>
      <c r="D929" t="s">
        <v>63</v>
      </c>
      <c r="E929" s="2">
        <v>8722.5400000000009</v>
      </c>
    </row>
    <row r="930" spans="1:5" x14ac:dyDescent="0.25">
      <c r="A930" t="s">
        <v>1185</v>
      </c>
      <c r="B930" t="s">
        <v>112</v>
      </c>
      <c r="C930" s="1">
        <v>45735</v>
      </c>
      <c r="D930" t="s">
        <v>63</v>
      </c>
      <c r="E930" s="2">
        <v>2408.12</v>
      </c>
    </row>
    <row r="931" spans="1:5" x14ac:dyDescent="0.25">
      <c r="A931" t="s">
        <v>1186</v>
      </c>
      <c r="B931" t="s">
        <v>774</v>
      </c>
      <c r="C931" s="1">
        <v>45350</v>
      </c>
      <c r="D931" t="s">
        <v>34</v>
      </c>
      <c r="E931" s="2">
        <v>9617.77</v>
      </c>
    </row>
    <row r="932" spans="1:5" x14ac:dyDescent="0.25">
      <c r="A932" t="s">
        <v>1187</v>
      </c>
      <c r="B932" t="s">
        <v>788</v>
      </c>
      <c r="C932" s="1">
        <v>45380</v>
      </c>
      <c r="D932" t="s">
        <v>34</v>
      </c>
      <c r="E932" s="2">
        <v>5464.88</v>
      </c>
    </row>
    <row r="933" spans="1:5" x14ac:dyDescent="0.25">
      <c r="A933" t="s">
        <v>1188</v>
      </c>
      <c r="B933" t="s">
        <v>614</v>
      </c>
      <c r="C933" s="1">
        <v>45653</v>
      </c>
      <c r="D933" t="s">
        <v>34</v>
      </c>
      <c r="E933" s="2">
        <v>4966.5600000000004</v>
      </c>
    </row>
    <row r="934" spans="1:5" x14ac:dyDescent="0.25">
      <c r="A934" t="s">
        <v>1189</v>
      </c>
      <c r="B934" t="s">
        <v>31</v>
      </c>
      <c r="C934" s="1">
        <v>45804</v>
      </c>
      <c r="D934" t="s">
        <v>27</v>
      </c>
      <c r="E934" s="2">
        <v>4370.16</v>
      </c>
    </row>
    <row r="935" spans="1:5" x14ac:dyDescent="0.25">
      <c r="A935" t="s">
        <v>1190</v>
      </c>
      <c r="B935" t="s">
        <v>956</v>
      </c>
      <c r="C935" s="1">
        <v>45767</v>
      </c>
      <c r="D935" t="s">
        <v>10</v>
      </c>
      <c r="E935" s="2">
        <v>3976.75</v>
      </c>
    </row>
    <row r="936" spans="1:5" x14ac:dyDescent="0.25">
      <c r="A936" t="s">
        <v>1191</v>
      </c>
      <c r="B936" t="s">
        <v>711</v>
      </c>
      <c r="C936" s="1">
        <v>45415</v>
      </c>
      <c r="D936" t="s">
        <v>10</v>
      </c>
      <c r="E936" s="2">
        <v>8695.9500000000007</v>
      </c>
    </row>
    <row r="937" spans="1:5" x14ac:dyDescent="0.25">
      <c r="A937" t="s">
        <v>1192</v>
      </c>
      <c r="B937" t="s">
        <v>282</v>
      </c>
      <c r="C937" s="1">
        <v>45783</v>
      </c>
      <c r="D937" t="s">
        <v>34</v>
      </c>
      <c r="E937" s="2">
        <v>4084</v>
      </c>
    </row>
    <row r="938" spans="1:5" x14ac:dyDescent="0.25">
      <c r="A938" t="s">
        <v>1193</v>
      </c>
      <c r="B938" t="s">
        <v>67</v>
      </c>
      <c r="C938" s="1">
        <v>45617</v>
      </c>
      <c r="D938" t="s">
        <v>63</v>
      </c>
      <c r="E938" s="2">
        <v>6369.47</v>
      </c>
    </row>
    <row r="939" spans="1:5" x14ac:dyDescent="0.25">
      <c r="A939" t="s">
        <v>1194</v>
      </c>
      <c r="B939" t="s">
        <v>189</v>
      </c>
      <c r="C939" s="1">
        <v>45650</v>
      </c>
      <c r="D939" t="s">
        <v>68</v>
      </c>
      <c r="E939" s="2">
        <v>6162.64</v>
      </c>
    </row>
    <row r="940" spans="1:5" x14ac:dyDescent="0.25">
      <c r="A940" t="s">
        <v>1195</v>
      </c>
      <c r="B940" t="s">
        <v>342</v>
      </c>
      <c r="C940" s="1">
        <v>45437</v>
      </c>
      <c r="D940" t="s">
        <v>10</v>
      </c>
      <c r="E940" s="2">
        <v>2917.66</v>
      </c>
    </row>
    <row r="941" spans="1:5" x14ac:dyDescent="0.25">
      <c r="A941" t="s">
        <v>1196</v>
      </c>
      <c r="B941" t="s">
        <v>956</v>
      </c>
      <c r="C941" s="1">
        <v>45690</v>
      </c>
      <c r="D941" t="s">
        <v>34</v>
      </c>
      <c r="E941" s="2">
        <v>6726.85</v>
      </c>
    </row>
    <row r="942" spans="1:5" x14ac:dyDescent="0.25">
      <c r="A942" t="s">
        <v>1197</v>
      </c>
      <c r="B942" t="s">
        <v>494</v>
      </c>
      <c r="C942" s="1">
        <v>45335</v>
      </c>
      <c r="D942" t="s">
        <v>34</v>
      </c>
      <c r="E942" s="2">
        <v>3260.12</v>
      </c>
    </row>
    <row r="943" spans="1:5" x14ac:dyDescent="0.25">
      <c r="A943" t="s">
        <v>1198</v>
      </c>
      <c r="B943" t="s">
        <v>72</v>
      </c>
      <c r="C943" s="1">
        <v>45905</v>
      </c>
      <c r="D943" t="s">
        <v>63</v>
      </c>
      <c r="E943" s="2">
        <v>6392.63</v>
      </c>
    </row>
    <row r="944" spans="1:5" x14ac:dyDescent="0.25">
      <c r="A944" t="s">
        <v>1199</v>
      </c>
      <c r="B944" t="s">
        <v>18</v>
      </c>
      <c r="C944" s="1">
        <v>45469</v>
      </c>
      <c r="D944" t="s">
        <v>34</v>
      </c>
      <c r="E944" s="2">
        <v>3457.55</v>
      </c>
    </row>
    <row r="945" spans="1:5" x14ac:dyDescent="0.25">
      <c r="A945" t="s">
        <v>1200</v>
      </c>
      <c r="B945" t="s">
        <v>291</v>
      </c>
      <c r="C945" s="1">
        <v>45898</v>
      </c>
      <c r="D945" t="s">
        <v>10</v>
      </c>
      <c r="E945" s="2">
        <v>5591.49</v>
      </c>
    </row>
    <row r="946" spans="1:5" x14ac:dyDescent="0.25">
      <c r="A946" t="s">
        <v>1201</v>
      </c>
      <c r="B946" t="s">
        <v>1097</v>
      </c>
      <c r="C946" s="1">
        <v>45515</v>
      </c>
      <c r="D946" t="s">
        <v>10</v>
      </c>
      <c r="E946" s="2">
        <v>1651.35</v>
      </c>
    </row>
    <row r="947" spans="1:5" x14ac:dyDescent="0.25">
      <c r="A947" t="s">
        <v>1202</v>
      </c>
      <c r="B947" t="s">
        <v>92</v>
      </c>
      <c r="C947" s="1">
        <v>46018</v>
      </c>
      <c r="D947" t="s">
        <v>68</v>
      </c>
      <c r="E947" s="2">
        <v>6799.16</v>
      </c>
    </row>
    <row r="948" spans="1:5" x14ac:dyDescent="0.25">
      <c r="A948" t="s">
        <v>1203</v>
      </c>
      <c r="B948" t="s">
        <v>711</v>
      </c>
      <c r="C948" s="1">
        <v>45960</v>
      </c>
      <c r="D948" t="s">
        <v>68</v>
      </c>
      <c r="E948" s="2">
        <v>4823.2</v>
      </c>
    </row>
    <row r="949" spans="1:5" x14ac:dyDescent="0.25">
      <c r="A949" t="s">
        <v>1204</v>
      </c>
      <c r="B949" t="s">
        <v>15</v>
      </c>
      <c r="C949" s="1">
        <v>45565</v>
      </c>
      <c r="D949" t="s">
        <v>27</v>
      </c>
      <c r="E949" s="2">
        <v>9802.98</v>
      </c>
    </row>
    <row r="950" spans="1:5" x14ac:dyDescent="0.25">
      <c r="A950" t="s">
        <v>1205</v>
      </c>
      <c r="B950" t="s">
        <v>713</v>
      </c>
      <c r="C950" s="1">
        <v>45627</v>
      </c>
      <c r="D950" t="s">
        <v>16</v>
      </c>
      <c r="E950" s="2">
        <v>7686.9</v>
      </c>
    </row>
    <row r="951" spans="1:5" x14ac:dyDescent="0.25">
      <c r="A951" t="s">
        <v>1206</v>
      </c>
      <c r="B951" t="s">
        <v>129</v>
      </c>
      <c r="C951" s="1">
        <v>45698</v>
      </c>
      <c r="D951" t="s">
        <v>68</v>
      </c>
      <c r="E951" s="2">
        <v>3593.34</v>
      </c>
    </row>
    <row r="952" spans="1:5" x14ac:dyDescent="0.25">
      <c r="A952" t="s">
        <v>1207</v>
      </c>
      <c r="B952" t="s">
        <v>284</v>
      </c>
      <c r="C952" s="1">
        <v>45903</v>
      </c>
      <c r="D952" t="s">
        <v>7</v>
      </c>
      <c r="E952" s="2">
        <v>3269.06</v>
      </c>
    </row>
    <row r="953" spans="1:5" x14ac:dyDescent="0.25">
      <c r="A953" t="s">
        <v>1208</v>
      </c>
      <c r="B953" t="s">
        <v>29</v>
      </c>
      <c r="C953" s="1">
        <v>45877</v>
      </c>
      <c r="D953" t="s">
        <v>63</v>
      </c>
      <c r="E953" s="2">
        <v>6800.19</v>
      </c>
    </row>
    <row r="954" spans="1:5" x14ac:dyDescent="0.25">
      <c r="A954" t="s">
        <v>1209</v>
      </c>
      <c r="B954" t="s">
        <v>350</v>
      </c>
      <c r="C954" s="1">
        <v>45862</v>
      </c>
      <c r="D954" t="s">
        <v>10</v>
      </c>
      <c r="E954" s="2">
        <v>1177.46</v>
      </c>
    </row>
    <row r="955" spans="1:5" x14ac:dyDescent="0.25">
      <c r="A955" t="s">
        <v>1210</v>
      </c>
      <c r="B955" t="s">
        <v>571</v>
      </c>
      <c r="C955" s="1">
        <v>45724</v>
      </c>
      <c r="D955" t="s">
        <v>68</v>
      </c>
      <c r="E955" s="2">
        <v>9719.35</v>
      </c>
    </row>
    <row r="956" spans="1:5" x14ac:dyDescent="0.25">
      <c r="A956" t="s">
        <v>1211</v>
      </c>
      <c r="B956" t="s">
        <v>166</v>
      </c>
      <c r="C956" s="1">
        <v>45751</v>
      </c>
      <c r="D956" t="s">
        <v>34</v>
      </c>
      <c r="E956" s="2">
        <v>450.01</v>
      </c>
    </row>
    <row r="957" spans="1:5" x14ac:dyDescent="0.25">
      <c r="A957" t="s">
        <v>1212</v>
      </c>
      <c r="B957" t="s">
        <v>1213</v>
      </c>
      <c r="C957" s="1">
        <v>45344</v>
      </c>
      <c r="D957" t="s">
        <v>27</v>
      </c>
      <c r="E957" s="2">
        <v>7663.02</v>
      </c>
    </row>
    <row r="958" spans="1:5" x14ac:dyDescent="0.25">
      <c r="A958" t="s">
        <v>1214</v>
      </c>
      <c r="B958" t="s">
        <v>802</v>
      </c>
      <c r="C958" s="1">
        <v>45775</v>
      </c>
      <c r="D958" t="s">
        <v>13</v>
      </c>
      <c r="E958" s="2">
        <v>8050.48</v>
      </c>
    </row>
    <row r="959" spans="1:5" x14ac:dyDescent="0.25">
      <c r="A959" t="s">
        <v>1215</v>
      </c>
      <c r="B959" t="s">
        <v>80</v>
      </c>
      <c r="C959" s="1">
        <v>45861</v>
      </c>
      <c r="D959" t="s">
        <v>27</v>
      </c>
      <c r="E959" s="2">
        <v>429.53</v>
      </c>
    </row>
    <row r="960" spans="1:5" x14ac:dyDescent="0.25">
      <c r="A960" t="s">
        <v>1216</v>
      </c>
      <c r="B960" t="s">
        <v>216</v>
      </c>
      <c r="C960" s="1">
        <v>45297</v>
      </c>
      <c r="D960" t="s">
        <v>10</v>
      </c>
      <c r="E960" s="2">
        <v>5795.75</v>
      </c>
    </row>
    <row r="961" spans="1:5" x14ac:dyDescent="0.25">
      <c r="A961" t="s">
        <v>1217</v>
      </c>
      <c r="B961" t="s">
        <v>207</v>
      </c>
      <c r="C961" s="1">
        <v>45696</v>
      </c>
      <c r="D961" t="s">
        <v>16</v>
      </c>
      <c r="E961" s="2">
        <v>7341.58</v>
      </c>
    </row>
    <row r="962" spans="1:5" x14ac:dyDescent="0.25">
      <c r="A962" t="s">
        <v>1218</v>
      </c>
      <c r="B962" t="s">
        <v>458</v>
      </c>
      <c r="C962" s="1">
        <v>45583</v>
      </c>
      <c r="D962" t="s">
        <v>27</v>
      </c>
      <c r="E962" s="2">
        <v>5993.76</v>
      </c>
    </row>
    <row r="963" spans="1:5" x14ac:dyDescent="0.25">
      <c r="A963" t="s">
        <v>1219</v>
      </c>
      <c r="B963" t="s">
        <v>214</v>
      </c>
      <c r="C963" s="1">
        <v>45523</v>
      </c>
      <c r="D963" t="s">
        <v>68</v>
      </c>
      <c r="E963" s="2">
        <v>6614.48</v>
      </c>
    </row>
    <row r="964" spans="1:5" x14ac:dyDescent="0.25">
      <c r="A964" t="s">
        <v>1220</v>
      </c>
      <c r="B964" t="s">
        <v>537</v>
      </c>
      <c r="C964" s="1">
        <v>45430</v>
      </c>
      <c r="D964" t="s">
        <v>10</v>
      </c>
      <c r="E964" s="2">
        <v>7270.2</v>
      </c>
    </row>
    <row r="965" spans="1:5" x14ac:dyDescent="0.25">
      <c r="A965" t="s">
        <v>1221</v>
      </c>
      <c r="B965" t="s">
        <v>193</v>
      </c>
      <c r="C965" s="1">
        <v>45895</v>
      </c>
      <c r="D965" t="s">
        <v>68</v>
      </c>
      <c r="E965" s="2">
        <v>1809.45</v>
      </c>
    </row>
    <row r="966" spans="1:5" x14ac:dyDescent="0.25">
      <c r="A966" t="s">
        <v>1222</v>
      </c>
      <c r="B966" t="s">
        <v>29</v>
      </c>
      <c r="C966" s="1">
        <v>45746</v>
      </c>
      <c r="D966" t="s">
        <v>63</v>
      </c>
      <c r="E966" s="2">
        <v>7756.43</v>
      </c>
    </row>
    <row r="967" spans="1:5" x14ac:dyDescent="0.25">
      <c r="A967" t="s">
        <v>1223</v>
      </c>
      <c r="B967" t="s">
        <v>44</v>
      </c>
      <c r="C967" s="1">
        <v>45336</v>
      </c>
      <c r="D967" t="s">
        <v>27</v>
      </c>
      <c r="E967" s="2">
        <v>4720.29</v>
      </c>
    </row>
    <row r="968" spans="1:5" x14ac:dyDescent="0.25">
      <c r="A968" t="s">
        <v>1224</v>
      </c>
      <c r="B968" t="s">
        <v>469</v>
      </c>
      <c r="C968" s="1">
        <v>45945</v>
      </c>
      <c r="D968" t="s">
        <v>34</v>
      </c>
      <c r="E968" s="2">
        <v>5773.32</v>
      </c>
    </row>
    <row r="969" spans="1:5" x14ac:dyDescent="0.25">
      <c r="A969" t="s">
        <v>1225</v>
      </c>
      <c r="B969" t="s">
        <v>209</v>
      </c>
      <c r="C969" s="1">
        <v>45338</v>
      </c>
      <c r="D969" t="s">
        <v>13</v>
      </c>
      <c r="E969" s="2">
        <v>2784.76</v>
      </c>
    </row>
    <row r="970" spans="1:5" x14ac:dyDescent="0.25">
      <c r="A970" t="s">
        <v>1226</v>
      </c>
      <c r="B970" t="s">
        <v>303</v>
      </c>
      <c r="C970" s="1">
        <v>45351</v>
      </c>
      <c r="D970" t="s">
        <v>7</v>
      </c>
      <c r="E970" s="2">
        <v>6696.96</v>
      </c>
    </row>
    <row r="971" spans="1:5" x14ac:dyDescent="0.25">
      <c r="A971" t="s">
        <v>1227</v>
      </c>
      <c r="B971" t="s">
        <v>407</v>
      </c>
      <c r="C971" s="1">
        <v>45988</v>
      </c>
      <c r="D971" t="s">
        <v>13</v>
      </c>
      <c r="E971" s="2">
        <v>4707.3100000000004</v>
      </c>
    </row>
    <row r="972" spans="1:5" x14ac:dyDescent="0.25">
      <c r="A972" t="s">
        <v>1228</v>
      </c>
      <c r="B972" t="s">
        <v>692</v>
      </c>
      <c r="C972" s="1">
        <v>45751</v>
      </c>
      <c r="D972" t="s">
        <v>68</v>
      </c>
      <c r="E972" s="2">
        <v>3425.33</v>
      </c>
    </row>
    <row r="973" spans="1:5" x14ac:dyDescent="0.25">
      <c r="A973" t="s">
        <v>1229</v>
      </c>
      <c r="B973" t="s">
        <v>542</v>
      </c>
      <c r="C973" s="1">
        <v>45459</v>
      </c>
      <c r="D973" t="s">
        <v>7</v>
      </c>
      <c r="E973" s="2">
        <v>2431.2199999999998</v>
      </c>
    </row>
    <row r="974" spans="1:5" x14ac:dyDescent="0.25">
      <c r="A974" t="s">
        <v>1230</v>
      </c>
      <c r="B974" t="s">
        <v>85</v>
      </c>
      <c r="C974" s="1">
        <v>46016</v>
      </c>
      <c r="D974" t="s">
        <v>10</v>
      </c>
      <c r="E974" s="2">
        <v>2860.35</v>
      </c>
    </row>
    <row r="975" spans="1:5" x14ac:dyDescent="0.25">
      <c r="A975" t="s">
        <v>1231</v>
      </c>
      <c r="B975" t="s">
        <v>948</v>
      </c>
      <c r="C975" s="1">
        <v>45356</v>
      </c>
      <c r="D975" t="s">
        <v>27</v>
      </c>
      <c r="E975" s="2">
        <v>3810.34</v>
      </c>
    </row>
    <row r="976" spans="1:5" x14ac:dyDescent="0.25">
      <c r="A976" t="s">
        <v>1232</v>
      </c>
      <c r="B976" t="s">
        <v>542</v>
      </c>
      <c r="C976" s="1">
        <v>45782</v>
      </c>
      <c r="D976" t="s">
        <v>63</v>
      </c>
      <c r="E976" s="2">
        <v>8475.73</v>
      </c>
    </row>
    <row r="977" spans="1:5" x14ac:dyDescent="0.25">
      <c r="A977" t="s">
        <v>1233</v>
      </c>
      <c r="B977" t="s">
        <v>275</v>
      </c>
      <c r="C977" s="1">
        <v>45450</v>
      </c>
      <c r="D977" t="s">
        <v>63</v>
      </c>
      <c r="E977" s="2">
        <v>6221.31</v>
      </c>
    </row>
    <row r="978" spans="1:5" x14ac:dyDescent="0.25">
      <c r="A978" t="s">
        <v>1234</v>
      </c>
      <c r="B978" t="s">
        <v>1119</v>
      </c>
      <c r="C978" s="1">
        <v>45599</v>
      </c>
      <c r="D978" t="s">
        <v>16</v>
      </c>
      <c r="E978" s="2">
        <v>7140.9</v>
      </c>
    </row>
    <row r="979" spans="1:5" x14ac:dyDescent="0.25">
      <c r="A979" t="s">
        <v>1235</v>
      </c>
      <c r="B979" t="s">
        <v>176</v>
      </c>
      <c r="C979" s="1">
        <v>45988</v>
      </c>
      <c r="D979" t="s">
        <v>63</v>
      </c>
      <c r="E979" s="2">
        <v>9977.73</v>
      </c>
    </row>
    <row r="980" spans="1:5" x14ac:dyDescent="0.25">
      <c r="A980" t="s">
        <v>1236</v>
      </c>
      <c r="B980" t="s">
        <v>566</v>
      </c>
      <c r="C980" s="1">
        <v>45382</v>
      </c>
      <c r="D980" t="s">
        <v>7</v>
      </c>
      <c r="E980" s="2">
        <v>8677.51</v>
      </c>
    </row>
    <row r="981" spans="1:5" x14ac:dyDescent="0.25">
      <c r="A981" t="s">
        <v>1237</v>
      </c>
      <c r="B981" t="s">
        <v>547</v>
      </c>
      <c r="C981" s="1">
        <v>45638</v>
      </c>
      <c r="D981" t="s">
        <v>27</v>
      </c>
      <c r="E981" s="2">
        <v>8642.74</v>
      </c>
    </row>
    <row r="982" spans="1:5" x14ac:dyDescent="0.25">
      <c r="A982" t="s">
        <v>1238</v>
      </c>
      <c r="B982" t="s">
        <v>284</v>
      </c>
      <c r="C982" s="1">
        <v>45962</v>
      </c>
      <c r="D982" t="s">
        <v>13</v>
      </c>
      <c r="E982" s="2">
        <v>8984.08</v>
      </c>
    </row>
    <row r="983" spans="1:5" x14ac:dyDescent="0.25">
      <c r="A983" t="s">
        <v>1239</v>
      </c>
      <c r="B983" t="s">
        <v>741</v>
      </c>
      <c r="C983" s="1">
        <v>45784</v>
      </c>
      <c r="D983" t="s">
        <v>16</v>
      </c>
      <c r="E983" s="2">
        <v>2041.46</v>
      </c>
    </row>
    <row r="984" spans="1:5" x14ac:dyDescent="0.25">
      <c r="A984" t="s">
        <v>1240</v>
      </c>
      <c r="B984" t="s">
        <v>1213</v>
      </c>
      <c r="C984" s="1">
        <v>45758</v>
      </c>
      <c r="D984" t="s">
        <v>16</v>
      </c>
      <c r="E984" s="2">
        <v>2297.9299999999998</v>
      </c>
    </row>
    <row r="985" spans="1:5" x14ac:dyDescent="0.25">
      <c r="A985" t="s">
        <v>1241</v>
      </c>
      <c r="B985" t="s">
        <v>224</v>
      </c>
      <c r="C985" s="1">
        <v>45849</v>
      </c>
      <c r="D985" t="s">
        <v>68</v>
      </c>
      <c r="E985" s="2">
        <v>3822.1</v>
      </c>
    </row>
    <row r="986" spans="1:5" x14ac:dyDescent="0.25">
      <c r="A986" t="s">
        <v>1242</v>
      </c>
      <c r="B986" t="s">
        <v>692</v>
      </c>
      <c r="C986" s="1">
        <v>45668</v>
      </c>
      <c r="D986" t="s">
        <v>7</v>
      </c>
      <c r="E986" s="2">
        <v>8251.32</v>
      </c>
    </row>
    <row r="987" spans="1:5" x14ac:dyDescent="0.25">
      <c r="A987" t="s">
        <v>1243</v>
      </c>
      <c r="B987" t="s">
        <v>843</v>
      </c>
      <c r="C987" s="1">
        <v>45847</v>
      </c>
      <c r="D987" t="s">
        <v>27</v>
      </c>
      <c r="E987" s="2">
        <v>1859.27</v>
      </c>
    </row>
    <row r="988" spans="1:5" x14ac:dyDescent="0.25">
      <c r="A988" t="s">
        <v>1244</v>
      </c>
      <c r="B988" t="s">
        <v>964</v>
      </c>
      <c r="C988" s="1">
        <v>45623</v>
      </c>
      <c r="D988" t="s">
        <v>7</v>
      </c>
      <c r="E988" s="2">
        <v>4324.3100000000004</v>
      </c>
    </row>
    <row r="989" spans="1:5" x14ac:dyDescent="0.25">
      <c r="A989" t="s">
        <v>1245</v>
      </c>
      <c r="B989" t="s">
        <v>790</v>
      </c>
      <c r="C989" s="1">
        <v>45593</v>
      </c>
      <c r="D989" t="s">
        <v>34</v>
      </c>
      <c r="E989" s="2">
        <v>6853.16</v>
      </c>
    </row>
    <row r="990" spans="1:5" x14ac:dyDescent="0.25">
      <c r="A990" t="s">
        <v>1246</v>
      </c>
      <c r="B990" t="s">
        <v>472</v>
      </c>
      <c r="C990" s="1">
        <v>45878</v>
      </c>
      <c r="D990" t="s">
        <v>63</v>
      </c>
      <c r="E990" s="2">
        <v>6648.26</v>
      </c>
    </row>
    <row r="991" spans="1:5" x14ac:dyDescent="0.25">
      <c r="A991" t="s">
        <v>1247</v>
      </c>
      <c r="B991" t="s">
        <v>185</v>
      </c>
      <c r="C991" s="1">
        <v>45508</v>
      </c>
      <c r="D991" t="s">
        <v>16</v>
      </c>
      <c r="E991" s="2">
        <v>4417.1400000000003</v>
      </c>
    </row>
    <row r="992" spans="1:5" x14ac:dyDescent="0.25">
      <c r="A992" t="s">
        <v>1248</v>
      </c>
      <c r="B992" t="s">
        <v>12</v>
      </c>
      <c r="C992" s="1">
        <v>45303</v>
      </c>
      <c r="D992" t="s">
        <v>27</v>
      </c>
      <c r="E992" s="2">
        <v>1918.8</v>
      </c>
    </row>
    <row r="993" spans="1:5" x14ac:dyDescent="0.25">
      <c r="A993" t="s">
        <v>1249</v>
      </c>
      <c r="B993" t="s">
        <v>627</v>
      </c>
      <c r="C993" s="1">
        <v>45662</v>
      </c>
      <c r="D993" t="s">
        <v>7</v>
      </c>
      <c r="E993" s="2">
        <v>3403.8</v>
      </c>
    </row>
    <row r="994" spans="1:5" x14ac:dyDescent="0.25">
      <c r="A994" t="s">
        <v>1250</v>
      </c>
      <c r="B994" t="s">
        <v>31</v>
      </c>
      <c r="C994" s="1">
        <v>45769</v>
      </c>
      <c r="D994" t="s">
        <v>13</v>
      </c>
      <c r="E994" s="2">
        <v>1354.4</v>
      </c>
    </row>
    <row r="995" spans="1:5" x14ac:dyDescent="0.25">
      <c r="A995" t="s">
        <v>1251</v>
      </c>
      <c r="B995" t="s">
        <v>248</v>
      </c>
      <c r="C995" s="1">
        <v>45591</v>
      </c>
      <c r="D995" t="s">
        <v>13</v>
      </c>
      <c r="E995" s="2">
        <v>1438.88</v>
      </c>
    </row>
    <row r="996" spans="1:5" x14ac:dyDescent="0.25">
      <c r="A996" t="s">
        <v>1252</v>
      </c>
      <c r="B996" t="s">
        <v>741</v>
      </c>
      <c r="C996" s="1">
        <v>45917</v>
      </c>
      <c r="D996" t="s">
        <v>68</v>
      </c>
      <c r="E996" s="2">
        <v>9294.02</v>
      </c>
    </row>
    <row r="997" spans="1:5" x14ac:dyDescent="0.25">
      <c r="A997" t="s">
        <v>1253</v>
      </c>
      <c r="B997" t="s">
        <v>324</v>
      </c>
      <c r="C997" s="1">
        <v>45781</v>
      </c>
      <c r="D997" t="s">
        <v>68</v>
      </c>
      <c r="E997" s="2">
        <v>8488.0400000000009</v>
      </c>
    </row>
    <row r="998" spans="1:5" x14ac:dyDescent="0.25">
      <c r="A998" t="s">
        <v>1254</v>
      </c>
      <c r="B998" t="s">
        <v>207</v>
      </c>
      <c r="C998" s="1">
        <v>45381</v>
      </c>
      <c r="D998" t="s">
        <v>34</v>
      </c>
      <c r="E998" s="2">
        <v>1463.69</v>
      </c>
    </row>
    <row r="999" spans="1:5" x14ac:dyDescent="0.25">
      <c r="A999" t="s">
        <v>1255</v>
      </c>
      <c r="B999" t="s">
        <v>226</v>
      </c>
      <c r="C999" s="1">
        <v>45995</v>
      </c>
      <c r="D999" t="s">
        <v>34</v>
      </c>
      <c r="E999" s="2">
        <v>1493.86</v>
      </c>
    </row>
    <row r="1000" spans="1:5" x14ac:dyDescent="0.25">
      <c r="A1000" t="s">
        <v>1256</v>
      </c>
      <c r="B1000" t="s">
        <v>566</v>
      </c>
      <c r="C1000" s="1">
        <v>45741</v>
      </c>
      <c r="D1000" t="s">
        <v>10</v>
      </c>
      <c r="E1000" s="2">
        <v>9986.2099999999991</v>
      </c>
    </row>
    <row r="1001" spans="1:5" x14ac:dyDescent="0.25">
      <c r="A1001" t="s">
        <v>1257</v>
      </c>
      <c r="B1001" t="s">
        <v>1119</v>
      </c>
      <c r="C1001" s="1">
        <v>45400</v>
      </c>
      <c r="D1001" t="s">
        <v>13</v>
      </c>
      <c r="E1001" s="2">
        <v>9819.68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DBD629-0061-4756-936B-6FF40CA17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RFM_Category_Count</vt:lpstr>
      <vt:lpstr>RFM_Score</vt:lpstr>
      <vt:lpstr>Pivot_1</vt:lpstr>
      <vt:lpstr>tile_store_orders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Wójtowicz</dc:creator>
  <cp:lastModifiedBy>Marcin Wójtowicz</cp:lastModifiedBy>
  <dcterms:created xsi:type="dcterms:W3CDTF">2015-06-05T18:17:20Z</dcterms:created>
  <dcterms:modified xsi:type="dcterms:W3CDTF">2026-01-10T13:19:30Z</dcterms:modified>
</cp:coreProperties>
</file>